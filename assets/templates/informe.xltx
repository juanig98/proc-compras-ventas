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Resumen" sheetId="1" state="visible" r:id="rId2"/>
    <sheet name="Ventas" sheetId="2" state="visible" r:id="rId3"/>
    <sheet name="Compras" sheetId="3" state="visible" r:id="rId4"/>
    <sheet name="Retenciones" sheetId="4" state="visible" r:id="rId5"/>
    <sheet name="Referencias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<sst xmlns="http://schemas.openxmlformats.org/spreadsheetml/2006/main" count="643" uniqueCount="85">
  <si>
    <t xml:space="preserve">RESUMEN</t>
  </si>
  <si>
    <t xml:space="preserve">DETALLES</t>
  </si>
  <si>
    <t xml:space="preserve">EVOLUCION </t>
  </si>
  <si>
    <t xml:space="preserve">TOTALES</t>
  </si>
  <si>
    <t xml:space="preserve">Documentos</t>
  </si>
  <si>
    <t xml:space="preserve">TALLER</t>
  </si>
  <si>
    <t xml:space="preserve">LOCAL</t>
  </si>
  <si>
    <t xml:space="preserve">TOTAL</t>
  </si>
  <si>
    <t xml:space="preserve">Primeros 10 días</t>
  </si>
  <si>
    <t xml:space="preserve">Primeros 20 días</t>
  </si>
  <si>
    <t xml:space="preserve">Entre día 10 y 20 del mes</t>
  </si>
  <si>
    <t xml:space="preserve">Ultimos 10 días</t>
  </si>
  <si>
    <t xml:space="preserve">Emitidos</t>
  </si>
  <si>
    <t xml:space="preserve">COMPRAS</t>
  </si>
  <si>
    <t xml:space="preserve">Factura A</t>
  </si>
  <si>
    <t xml:space="preserve">VENTAS</t>
  </si>
  <si>
    <t xml:space="preserve">Factura B</t>
  </si>
  <si>
    <t xml:space="preserve">PERCIBIDO O PAGADO</t>
  </si>
  <si>
    <t xml:space="preserve">Nota de crédito A</t>
  </si>
  <si>
    <t xml:space="preserve">DEVENGADO</t>
  </si>
  <si>
    <t xml:space="preserve">Nota de crédito B</t>
  </si>
  <si>
    <t xml:space="preserve">Nota de débito A</t>
  </si>
  <si>
    <t xml:space="preserve">Nota de débito B</t>
  </si>
  <si>
    <t xml:space="preserve">COMPRAS </t>
  </si>
  <si>
    <t xml:space="preserve">Recibidos</t>
  </si>
  <si>
    <t xml:space="preserve">Compras</t>
  </si>
  <si>
    <t xml:space="preserve">Facturas</t>
  </si>
  <si>
    <t xml:space="preserve">Ventas</t>
  </si>
  <si>
    <t xml:space="preserve">Nota de crédito</t>
  </si>
  <si>
    <t xml:space="preserve">Nota de débito</t>
  </si>
  <si>
    <t xml:space="preserve">DEBE</t>
  </si>
  <si>
    <t xml:space="preserve">HABER</t>
  </si>
  <si>
    <t xml:space="preserve">IMPUESTOS</t>
  </si>
  <si>
    <t xml:space="preserve">DETALLE DE IMPUESTOS</t>
  </si>
  <si>
    <t xml:space="preserve">Taller</t>
  </si>
  <si>
    <t xml:space="preserve">Local</t>
  </si>
  <si>
    <t xml:space="preserve">RETENCIONES</t>
  </si>
  <si>
    <t xml:space="preserve">IIBB</t>
  </si>
  <si>
    <t xml:space="preserve">I.V.A.</t>
  </si>
  <si>
    <t xml:space="preserve">IVA</t>
  </si>
  <si>
    <t xml:space="preserve">IVA Débito</t>
  </si>
  <si>
    <t xml:space="preserve">Posición Ventas-Compras</t>
  </si>
  <si>
    <t xml:space="preserve">MUNICIPAL</t>
  </si>
  <si>
    <t xml:space="preserve">IVA Crédito</t>
  </si>
  <si>
    <t xml:space="preserve">Otros</t>
  </si>
  <si>
    <t xml:space="preserve">Retenciones IVA</t>
  </si>
  <si>
    <t xml:space="preserve">DDJJ IVA</t>
  </si>
  <si>
    <t xml:space="preserve">REGIMEN SISTEMA SIRCREB</t>
  </si>
  <si>
    <t xml:space="preserve">Percepciones IVA</t>
  </si>
  <si>
    <t xml:space="preserve">Bco Francés</t>
  </si>
  <si>
    <t xml:space="preserve">Total deducciones</t>
  </si>
  <si>
    <t xml:space="preserve">I.I.B.B.</t>
  </si>
  <si>
    <t xml:space="preserve">Ventas netas</t>
  </si>
  <si>
    <t xml:space="preserve">Impuesto determinado</t>
  </si>
  <si>
    <t xml:space="preserve">Retenciones IIBB</t>
  </si>
  <si>
    <t xml:space="preserve">Percepciones IIBB</t>
  </si>
  <si>
    <t xml:space="preserve">Total a pagar</t>
  </si>
  <si>
    <t xml:space="preserve">Rec. Bancarias aprox.</t>
  </si>
  <si>
    <t xml:space="preserve">Tasa Comercial</t>
  </si>
  <si>
    <t xml:space="preserve">Reducciones</t>
  </si>
  <si>
    <t xml:space="preserve">Fecha</t>
  </si>
  <si>
    <t xml:space="preserve">Tipo de comprobante</t>
  </si>
  <si>
    <t xml:space="preserve">Destinatario</t>
  </si>
  <si>
    <t xml:space="preserve">Número</t>
  </si>
  <si>
    <t xml:space="preserve">Subtotal</t>
  </si>
  <si>
    <t xml:space="preserve">Total</t>
  </si>
  <si>
    <t xml:space="preserve">Ente</t>
  </si>
  <si>
    <t xml:space="preserve">Emisor</t>
  </si>
  <si>
    <t xml:space="preserve">Percep. I.I.B.B.</t>
  </si>
  <si>
    <t xml:space="preserve">Percep. I.V,A.</t>
  </si>
  <si>
    <t xml:space="preserve">Recibida</t>
  </si>
  <si>
    <t xml:space="preserve">Tiene percep. I.I.B.B.</t>
  </si>
  <si>
    <t xml:space="preserve">Tiene percep. I.V.A.</t>
  </si>
  <si>
    <t xml:space="preserve">L</t>
  </si>
  <si>
    <t xml:space="preserve">Si</t>
  </si>
  <si>
    <t xml:space="preserve">Retención sobre</t>
  </si>
  <si>
    <t xml:space="preserve">Numero</t>
  </si>
  <si>
    <t xml:space="preserve">Importe</t>
  </si>
  <si>
    <t xml:space="preserve">T</t>
  </si>
  <si>
    <t xml:space="preserve">001-Factura A</t>
  </si>
  <si>
    <t xml:space="preserve">006-Factura B</t>
  </si>
  <si>
    <t xml:space="preserve">002-Nota de débito A</t>
  </si>
  <si>
    <t xml:space="preserve">007-Nota de débito B</t>
  </si>
  <si>
    <t xml:space="preserve">003-Nota de crédito A</t>
  </si>
  <si>
    <t xml:space="preserve">008-Nota de crédito B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</si>
</sst>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_-&quot;$ &quot;* #,##0.00_-;&quot;-$ &quot;* #,##0.00_-;_-&quot;$ &quot;* \-??_-;_-@_-"/>
    <numFmt numFmtId="166" formatCode="[$$-2C0A]#,##0.00;[RED]\([$$-2C0A]#,##0.00\)"/>
    <numFmt numFmtId="167" formatCode="dd/mm/yy"/>
  </numFmts>
  <fonts count="12">
    <font>
      <sz val="1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0"/>
      <charset val="1"/>
    </font>
    <font>
      <b val="true"/>
      <sz val="16"/>
      <color rgb="FF000000"/>
      <name val="Calibri"/>
      <family val="0"/>
      <charset val="1"/>
    </font>
    <font>
      <sz val="12"/>
      <color rgb="FF000000"/>
      <name val="Calibri"/>
      <family val="0"/>
      <charset val="1"/>
    </font>
    <font>
      <sz val="14"/>
      <color rgb="FF000000"/>
      <name val="Calibri"/>
      <family val="0"/>
      <charset val="1"/>
    </font>
    <font>
      <b val="true"/>
      <sz val="17"/>
      <color rgb="FF000000"/>
      <name val="Calibri"/>
      <family val="0"/>
      <charset val="1"/>
    </font>
    <font>
      <b val="true"/>
      <sz val="14"/>
      <color rgb="FF000000"/>
      <name val="Calibri"/>
      <family val="0"/>
      <charset val="1"/>
    </font>
    <font>
      <sz val="14"/>
      <color rgb="FFC9211E"/>
      <name val="Calibri"/>
      <family val="0"/>
      <charset val="1"/>
    </font>
    <font>
      <b val="true"/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E994"/>
        <bgColor rgb="FFFFCC99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hair"/>
      <right/>
      <top style="hair"/>
      <bottom style="medium"/>
      <diagonal/>
    </border>
    <border diagonalUp="false" diagonalDown="false">
      <left style="medium"/>
      <right style="hair"/>
      <top style="hair"/>
      <bottom style="medium"/>
      <diagonal/>
    </border>
    <border diagonalUp="false" diagonalDown="false">
      <left style="hair"/>
      <right/>
      <top/>
      <bottom style="medium"/>
      <diagonal/>
    </border>
    <border diagonalUp="false" diagonalDown="false">
      <left style="medium"/>
      <right style="hair"/>
      <top/>
      <bottom style="medium"/>
      <diagonal/>
    </border>
    <border diagonalUp="false" diagonalDown="false">
      <left style="hair"/>
      <right/>
      <top/>
      <bottom style="hair"/>
      <diagonal/>
    </border>
    <border diagonalUp="false" diagonalDown="false">
      <left style="medium"/>
      <right style="hair"/>
      <top/>
      <bottom style="hair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 style="hair"/>
      <right style="hair"/>
      <top style="medium"/>
      <bottom style="medium"/>
      <diagonal/>
    </border>
    <border diagonalUp="false" diagonalDown="false">
      <left/>
      <right style="hair"/>
      <top/>
      <bottom style="hair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7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2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7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7" fillId="0" borderId="2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2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9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1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7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10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4" fillId="2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4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7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7" fillId="0" borderId="19" xfId="0" applyFont="tru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name val="Calibri"/>
        <charset val="1"/>
        <family val="0"/>
        <color rgb="FF006600"/>
        <sz val="11"/>
      </font>
      <fill>
        <patternFill>
          <bgColor rgb="FFCCFFCC"/>
        </patternFill>
      </fill>
    </dxf>
    <dxf>
      <font>
        <name val="Calibri"/>
        <charset val="1"/>
        <family val="0"/>
        <color rgb="FF006600"/>
        <sz val="11"/>
      </font>
      <fill>
        <patternFill>
          <bgColor rgb="FFCCFF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994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4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G13" activeCellId="1" sqref="I30:K87 G13"/>
    </sheetView>
  </sheetViews>
  <sheetFormatPr defaultColWidth="9.22265625" defaultRowHeight="13.5" zeroHeight="false" outlineLevelRow="0" outlineLevelCol="0"/>
  <cols>
    <col collapsed="false" customWidth="true" hidden="false" outlineLevel="0" max="1" min="1" style="1" width="26.85"/>
    <col collapsed="false" customWidth="true" hidden="false" outlineLevel="0" max="2" min="2" style="2" width="21.72"/>
    <col collapsed="false" customWidth="true" hidden="false" outlineLevel="0" max="3" min="3" style="1" width="5.14"/>
    <col collapsed="false" customWidth="true" hidden="false" outlineLevel="0" max="4" min="4" style="1" width="23.51"/>
    <col collapsed="false" customWidth="true" hidden="false" outlineLevel="0" max="5" min="5" style="1" width="19.91"/>
    <col collapsed="false" customWidth="true" hidden="false" outlineLevel="0" max="7" min="6" style="1" width="19.7"/>
    <col collapsed="false" customWidth="true" hidden="false" outlineLevel="0" max="8" min="8" style="1" width="4.68"/>
    <col collapsed="false" customWidth="true" hidden="false" outlineLevel="0" max="9" min="9" style="1" width="8.83"/>
    <col collapsed="false" customWidth="true" hidden="false" outlineLevel="0" max="10" min="10" style="1" width="16.19"/>
    <col collapsed="false" customWidth="true" hidden="false" outlineLevel="0" max="11" min="11" style="1" width="16.09"/>
    <col collapsed="false" customWidth="true" hidden="false" outlineLevel="0" max="13" min="12" style="1" width="16.19"/>
    <col collapsed="false" customWidth="true" hidden="false" outlineLevel="0" max="1024" min="1024" style="0" width="10.17"/>
  </cols>
  <sheetData>
    <row r="1" customFormat="false" ht="15" hidden="false" customHeight="true" outlineLevel="0" collapsed="false">
      <c r="A1" s="3" t="s">
        <v>0</v>
      </c>
      <c r="B1" s="3"/>
      <c r="C1" s="4"/>
      <c r="D1" s="3" t="s">
        <v>1</v>
      </c>
      <c r="E1" s="3"/>
      <c r="F1" s="3"/>
      <c r="G1" s="3"/>
      <c r="H1" s="4"/>
      <c r="I1" s="4"/>
      <c r="J1" s="3" t="s">
        <v>2</v>
      </c>
      <c r="K1" s="3"/>
      <c r="L1" s="3"/>
      <c r="M1" s="3"/>
    </row>
    <row r="2" customFormat="false" ht="15.75" hidden="false" customHeight="true" outlineLevel="0" collapsed="false">
      <c r="A2" s="3"/>
      <c r="B2" s="3"/>
      <c r="C2" s="4"/>
      <c r="D2" s="3"/>
      <c r="E2" s="3"/>
      <c r="F2" s="3"/>
      <c r="G2" s="3"/>
      <c r="H2" s="4"/>
      <c r="I2" s="4"/>
      <c r="J2" s="3"/>
      <c r="K2" s="3"/>
      <c r="L2" s="3"/>
      <c r="M2" s="3"/>
    </row>
    <row r="3" customFormat="false" ht="21.75" hidden="false" customHeight="true" outlineLevel="0" collapsed="false">
      <c r="A3" s="5" t="s">
        <v>3</v>
      </c>
      <c r="B3" s="5"/>
      <c r="C3" s="4"/>
      <c r="D3" s="6" t="s">
        <v>4</v>
      </c>
      <c r="E3" s="6" t="s">
        <v>5</v>
      </c>
      <c r="F3" s="7" t="s">
        <v>6</v>
      </c>
      <c r="G3" s="8" t="s">
        <v>7</v>
      </c>
      <c r="J3" s="9" t="s">
        <v>8</v>
      </c>
      <c r="K3" s="10" t="s">
        <v>9</v>
      </c>
      <c r="L3" s="11" t="s">
        <v>10</v>
      </c>
      <c r="M3" s="12" t="s">
        <v>11</v>
      </c>
    </row>
    <row r="4" customFormat="false" ht="21.75" hidden="false" customHeight="true" outlineLevel="0" collapsed="false">
      <c r="A4" s="13"/>
      <c r="B4" s="14"/>
      <c r="C4" s="4"/>
      <c r="D4" s="15" t="s">
        <v>12</v>
      </c>
      <c r="E4" s="15"/>
      <c r="F4" s="15"/>
      <c r="G4" s="15"/>
      <c r="J4" s="9"/>
      <c r="K4" s="10"/>
      <c r="L4" s="11"/>
      <c r="M4" s="12"/>
    </row>
    <row r="5" customFormat="false" ht="17.35" hidden="false" customHeight="false" outlineLevel="0" collapsed="false">
      <c r="A5" s="16" t="s">
        <v>13</v>
      </c>
      <c r="B5" s="17" t="n">
        <f aca="false">G12</f>
        <v>0</v>
      </c>
      <c r="C5" s="4"/>
      <c r="D5" s="18" t="s">
        <v>14</v>
      </c>
      <c r="E5" s="19" t="n">
        <f aca="false">SUMIFS(Ventas!G3:G500,Ventas!B3:B500,Referencias!B4,Ventas!H3:H500,"T")</f>
        <v>0</v>
      </c>
      <c r="F5" s="19" t="n">
        <f aca="false">SUMIFS(Ventas!G3:G500,Ventas!B3:B500,Referencias!B4,Ventas!H3:H500,"L")</f>
        <v>0</v>
      </c>
      <c r="G5" s="20" t="n">
        <f aca="false">E5+F5</f>
        <v>0</v>
      </c>
      <c r="J5" s="21" t="n">
        <f aca="false">J11+J17</f>
        <v>0</v>
      </c>
      <c r="K5" s="21" t="n">
        <f aca="false">K11+K17</f>
        <v>0</v>
      </c>
      <c r="L5" s="21" t="n">
        <f aca="false">L11+L17</f>
        <v>0</v>
      </c>
      <c r="M5" s="21" t="n">
        <f aca="false">M11+M17</f>
        <v>0</v>
      </c>
    </row>
    <row r="6" customFormat="false" ht="17.35" hidden="false" customHeight="false" outlineLevel="0" collapsed="false">
      <c r="A6" s="16" t="s">
        <v>15</v>
      </c>
      <c r="B6" s="17" t="n">
        <f aca="false">G5+G6</f>
        <v>0</v>
      </c>
      <c r="C6" s="4"/>
      <c r="D6" s="18" t="s">
        <v>16</v>
      </c>
      <c r="E6" s="19" t="n">
        <f aca="false">SUMIFS(Ventas!G4:G501,Ventas!B4:B501,Referencias!B5,Ventas!H4:H501,"T")</f>
        <v>0</v>
      </c>
      <c r="F6" s="19" t="n">
        <f aca="false">SUMIFS(Ventas!G4:G501,Ventas!B4:B501,Referencias!B5,Ventas!H4:H501,"L")</f>
        <v>0</v>
      </c>
      <c r="G6" s="20" t="n">
        <f aca="false">E6+F6</f>
        <v>0</v>
      </c>
      <c r="J6" s="22" t="n">
        <f aca="false">J12+J18</f>
        <v>0</v>
      </c>
      <c r="K6" s="19" t="n">
        <f aca="false">K12+K18</f>
        <v>0</v>
      </c>
      <c r="L6" s="19" t="n">
        <f aca="false">L12+L18</f>
        <v>0</v>
      </c>
      <c r="M6" s="19" t="n">
        <f aca="false">M12+M18</f>
        <v>0</v>
      </c>
    </row>
    <row r="7" customFormat="false" ht="15.75" hidden="false" customHeight="true" outlineLevel="0" collapsed="false">
      <c r="A7" s="16" t="s">
        <v>17</v>
      </c>
      <c r="B7" s="17" t="n">
        <f aca="false">G13+G9+G10</f>
        <v>0</v>
      </c>
      <c r="C7" s="23"/>
      <c r="D7" s="18" t="s">
        <v>18</v>
      </c>
      <c r="E7" s="19" t="n">
        <f aca="false">SUMIFS(Ventas!G5:G502,Ventas!B5:B502,Referencias!B6,Ventas!H5:H502,"T")</f>
        <v>0</v>
      </c>
      <c r="F7" s="19" t="n">
        <f aca="false">SUMIFS(Ventas!G5:G502,Ventas!B5:B502,Referencias!B6,Ventas!H5:H502,"L")</f>
        <v>0</v>
      </c>
      <c r="G7" s="20" t="n">
        <f aca="false">E7+F7</f>
        <v>0</v>
      </c>
      <c r="J7" s="24"/>
      <c r="K7" s="25"/>
      <c r="L7" s="25"/>
      <c r="M7" s="26"/>
    </row>
    <row r="8" customFormat="false" ht="15.75" hidden="false" customHeight="true" outlineLevel="0" collapsed="false">
      <c r="A8" s="27" t="s">
        <v>19</v>
      </c>
      <c r="B8" s="28" t="n">
        <f aca="false">G7+G8+G14</f>
        <v>0</v>
      </c>
      <c r="C8" s="4"/>
      <c r="D8" s="18" t="s">
        <v>20</v>
      </c>
      <c r="E8" s="19" t="n">
        <f aca="false">SUMIFS(Ventas!G6:G503,Ventas!B6:B503,Referencias!B7,Ventas!H6:H503,"T")</f>
        <v>0</v>
      </c>
      <c r="F8" s="19" t="n">
        <f aca="false">SUMIFS(Ventas!G6:G503,Ventas!B6:B503,Referencias!B7,Ventas!H6:H503,"L")</f>
        <v>0</v>
      </c>
      <c r="G8" s="20" t="n">
        <f aca="false">E8+F8</f>
        <v>0</v>
      </c>
      <c r="J8" s="27"/>
      <c r="K8" s="29"/>
      <c r="L8" s="30"/>
      <c r="M8" s="31"/>
    </row>
    <row r="9" customFormat="false" ht="15.75" hidden="false" customHeight="true" outlineLevel="0" collapsed="false">
      <c r="A9" s="3" t="s">
        <v>5</v>
      </c>
      <c r="B9" s="3"/>
      <c r="C9" s="4"/>
      <c r="D9" s="18" t="s">
        <v>21</v>
      </c>
      <c r="E9" s="19" t="n">
        <f aca="false">SUMIFS(Ventas!G7:G504,Ventas!B7:B504,Referencias!B8,Ventas!H7:H504,"T")</f>
        <v>0</v>
      </c>
      <c r="F9" s="19" t="n">
        <f aca="false">SUMIFS(Ventas!G7:G504,Ventas!B7:B504,Referencias!B8,Ventas!H7:H504,"L")</f>
        <v>0</v>
      </c>
      <c r="G9" s="20" t="n">
        <f aca="false">E9+F9</f>
        <v>0</v>
      </c>
      <c r="J9" s="3" t="s">
        <v>5</v>
      </c>
      <c r="K9" s="3"/>
      <c r="L9" s="3"/>
      <c r="M9" s="3"/>
    </row>
    <row r="10" customFormat="false" ht="15.75" hidden="false" customHeight="true" outlineLevel="0" collapsed="false">
      <c r="A10" s="3"/>
      <c r="B10" s="3"/>
      <c r="C10" s="4"/>
      <c r="D10" s="18" t="s">
        <v>22</v>
      </c>
      <c r="E10" s="19" t="n">
        <f aca="false">SUMIFS(Ventas!G8:G505,Ventas!B8:B505,Referencias!B9,Ventas!H8:H505,"T")</f>
        <v>0</v>
      </c>
      <c r="F10" s="19" t="n">
        <f aca="false">SUMIFS(Ventas!G8:G505,Ventas!B8:B505,Referencias!B9,Ventas!H8:H505,"L")</f>
        <v>0</v>
      </c>
      <c r="G10" s="20" t="n">
        <f aca="false">E10+F10</f>
        <v>0</v>
      </c>
      <c r="J10" s="3"/>
      <c r="K10" s="3"/>
      <c r="L10" s="3"/>
      <c r="M10" s="3"/>
    </row>
    <row r="11" customFormat="false" ht="21.75" hidden="false" customHeight="true" outlineLevel="0" collapsed="false">
      <c r="A11" s="18" t="s">
        <v>23</v>
      </c>
      <c r="B11" s="17" t="n">
        <f aca="false">E12</f>
        <v>0</v>
      </c>
      <c r="C11" s="4"/>
      <c r="D11" s="15" t="s">
        <v>24</v>
      </c>
      <c r="E11" s="15"/>
      <c r="F11" s="15"/>
      <c r="G11" s="15"/>
      <c r="I11" s="1" t="s">
        <v>25</v>
      </c>
      <c r="J11" s="22" t="n">
        <f aca="false">SUMIFS(Compras!I3:I500,Compras!B3:B500,Referencias!B4,Compras!J3:J500,Referencias!B3,Compras!P3:P500,"&lt;11")</f>
        <v>0</v>
      </c>
      <c r="K11" s="19" t="n">
        <f aca="false">SUMIFS(Compras!I3:I500,Compras!B3:B500,Referencias!B4,Compras!J3:J500,Referencias!B3,Compras!P3:P500,"&lt;21")</f>
        <v>0</v>
      </c>
      <c r="L11" s="19" t="n">
        <f aca="false">SUMIFS(Compras!I3:I500,Compras!B3:B500,Referencias!B4,Compras!J3:J500,Referencias!B3,Compras!P3:P500,"&gt;10",Compras!P3:P500,"&lt;21")</f>
        <v>0</v>
      </c>
      <c r="M11" s="17" t="n">
        <f aca="false">SUMIFS(Compras!I3:I500,Compras!B3:B500,Referencias!B4,Compras!J3:J500,Referencias!B3,Compras!P3:P500,"&gt;20")</f>
        <v>0</v>
      </c>
    </row>
    <row r="12" customFormat="false" ht="17.35" hidden="false" customHeight="false" outlineLevel="0" collapsed="false">
      <c r="A12" s="18" t="s">
        <v>15</v>
      </c>
      <c r="B12" s="17" t="n">
        <f aca="false">E5+E6</f>
        <v>0</v>
      </c>
      <c r="C12" s="4"/>
      <c r="D12" s="18" t="s">
        <v>26</v>
      </c>
      <c r="E12" s="19" t="n">
        <f aca="false">SUMIFS(Compras!I3:I500,Compras!B3:B500,Referencias!B4,Compras!J3:J500,"T")</f>
        <v>0</v>
      </c>
      <c r="F12" s="19" t="n">
        <f aca="false">SUMIFS(Compras!I3:I500,Compras!B3:B500,Referencias!B4,Compras!J3:J500,"L")</f>
        <v>0</v>
      </c>
      <c r="G12" s="20" t="n">
        <f aca="false">E12+F12</f>
        <v>0</v>
      </c>
      <c r="I12" s="1" t="s">
        <v>27</v>
      </c>
      <c r="J12" s="22" t="n">
        <f aca="false">SUMIFS(Ventas!G3:G500,Ventas!B3:B500,Referencias!B4,Ventas!J3:J500,"&lt;11",Ventas!H3:H500,Referencias!B3)
+SUMIFS(Ventas!G3:G500,Ventas!B3:B500,Referencias!B5,Ventas!H3:H500,"&lt;11",Ventas!H3:H500,Referencias!B3)</f>
        <v>0</v>
      </c>
      <c r="K12" s="19" t="n">
        <f aca="false">SUMIFS(Ventas!G3:G500,Ventas!B3:B500,Referencias!B4,Ventas!J3:J500,"&lt;21",Ventas!H3:H500,Referencias!B3)
+SUMIFS(Ventas!G3:G500,Ventas!B3:B500,Referencias!B5,Ventas!H3:H500,"&lt;21",Ventas!H3:H500,Referencias!B3)</f>
        <v>0</v>
      </c>
      <c r="L12" s="19" t="n">
        <f aca="false">SUMIFS(Ventas!G3:G500,Ventas!B3:B500,Referencias!B4,Ventas!J3:J500,"&gt;11",Ventas!J3:J500,"&lt;21",Ventas!H3:H500,Referencias!B3)
+SUMIFS(Ventas!G3:G500,Ventas!B3:B500,Referencias!B5,Ventas!H3:H500,"&gt;11",Ventas!J3:J500,"&lt;21",Ventas!H3:H500,Referencias!B3)</f>
        <v>0</v>
      </c>
      <c r="M12" s="17" t="n">
        <f aca="false">SUMIFS(Ventas!G3:G500,Ventas!B3:B500,Referencias!B4,Ventas!J3:J500,"&gt;20",Ventas!H3:H500,Referencias!B3)
+SUMIFS(Ventas!G3:G500,Ventas!B3:B500,Referencias!B5,Ventas!H3:H500,"&gt;20",Ventas!H3:H500,Referencias!B3)</f>
        <v>0</v>
      </c>
    </row>
    <row r="13" customFormat="false" ht="17.35" hidden="false" customHeight="false" outlineLevel="0" collapsed="false">
      <c r="A13" s="16" t="s">
        <v>17</v>
      </c>
      <c r="B13" s="17" t="n">
        <f aca="false">E13+E9+E10</f>
        <v>0</v>
      </c>
      <c r="C13" s="4"/>
      <c r="D13" s="18" t="s">
        <v>28</v>
      </c>
      <c r="E13" s="19" t="n">
        <f aca="false">SUMIFS(Compras!I3:I500,Compras!B3:B500,Referencias!B6,Compras!J3:J500,"T")</f>
        <v>0</v>
      </c>
      <c r="F13" s="19" t="n">
        <f aca="false">SUMIFS(Compras!I3:I500,Compras!B3:B500,Referencias!B6,Compras!J3:J500,"L")</f>
        <v>0</v>
      </c>
      <c r="G13" s="20" t="n">
        <f aca="false">E13+F13</f>
        <v>0</v>
      </c>
      <c r="J13" s="24"/>
      <c r="K13" s="25"/>
      <c r="L13" s="25"/>
      <c r="M13" s="26"/>
    </row>
    <row r="14" customFormat="false" ht="17.35" hidden="false" customHeight="false" outlineLevel="0" collapsed="false">
      <c r="A14" s="16" t="s">
        <v>19</v>
      </c>
      <c r="B14" s="17" t="n">
        <f aca="false">E7+E8+E14</f>
        <v>0</v>
      </c>
      <c r="C14" s="4"/>
      <c r="D14" s="32" t="s">
        <v>29</v>
      </c>
      <c r="E14" s="33" t="n">
        <f aca="false">SUMIFS(Compras!I3:I500,Compras!B3:B500,Referencias!B8,Compras!J3:J500,"T")</f>
        <v>0</v>
      </c>
      <c r="F14" s="33" t="n">
        <f aca="false">SUMIFS(Compras!I3:I500,Compras!B3:B500,Referencias!B8,Compras!J3:J500,"L")</f>
        <v>0</v>
      </c>
      <c r="G14" s="34" t="n">
        <f aca="false">E14+F14</f>
        <v>0</v>
      </c>
      <c r="J14" s="35"/>
      <c r="K14" s="30"/>
      <c r="L14" s="30"/>
      <c r="M14" s="31"/>
    </row>
    <row r="15" customFormat="false" ht="15.75" hidden="false" customHeight="true" outlineLevel="0" collapsed="false">
      <c r="A15" s="3" t="s">
        <v>6</v>
      </c>
      <c r="B15" s="3"/>
      <c r="C15" s="4"/>
      <c r="J15" s="3" t="s">
        <v>6</v>
      </c>
      <c r="K15" s="3"/>
      <c r="L15" s="3"/>
      <c r="M15" s="3"/>
    </row>
    <row r="16" customFormat="false" ht="15.75" hidden="false" customHeight="true" outlineLevel="0" collapsed="false">
      <c r="A16" s="3"/>
      <c r="B16" s="3"/>
      <c r="C16" s="4"/>
      <c r="J16" s="3"/>
      <c r="K16" s="3"/>
      <c r="L16" s="3"/>
      <c r="M16" s="3"/>
    </row>
    <row r="17" customFormat="false" ht="19.5" hidden="false" customHeight="true" outlineLevel="0" collapsed="false">
      <c r="A17" s="18" t="s">
        <v>13</v>
      </c>
      <c r="B17" s="17" t="n">
        <f aca="false">SUMIFS(Compras!I3:I500,Compras!N3:N500,"&lt;&gt;T",Compras!B3:B500,"&lt;&gt;Nota de crédito A",Compras!B3:B500,"&lt;&gt;Nota de crédito B")</f>
        <v>1</v>
      </c>
      <c r="C17" s="4"/>
      <c r="D17" s="36" t="s">
        <v>30</v>
      </c>
      <c r="E17" s="37" t="n">
        <f aca="false">B6+B7</f>
        <v>0</v>
      </c>
      <c r="I17" s="1" t="s">
        <v>25</v>
      </c>
      <c r="J17" s="22" t="n">
        <f aca="false">SUMIFS(Compras!I3:I500,Compras!B3:B500,Referencias!B4,Compras!J3:J500,Referencias!B2,Compras!P3:P500,"&lt;11")</f>
        <v>0</v>
      </c>
      <c r="K17" s="19" t="n">
        <f aca="false">SUMIFS(Compras!I3:I500,Compras!B3:B500,Referencias!B4,Compras!J3:J500,Referencias!B2,Compras!P3:P500,"&lt;21")</f>
        <v>0</v>
      </c>
      <c r="L17" s="19" t="n">
        <f aca="false">SUMIFS(Compras!I3:I500,Compras!B3:B500,Referencias!B4,Compras!J3:J500,Referencias!B2,Compras!P3:P500,"&gt;10",Compras!P3:P500,"&lt;21")</f>
        <v>0</v>
      </c>
      <c r="M17" s="17" t="n">
        <f aca="false">SUMIFS(Compras!I3:I500,Compras!B3:B500,Referencias!B4,Compras!J3:J500,Referencias!B2,Compras!P3:P500,"&gt;20")</f>
        <v>0</v>
      </c>
    </row>
    <row r="18" customFormat="false" ht="19.5" hidden="false" customHeight="true" outlineLevel="0" collapsed="false">
      <c r="A18" s="18" t="s">
        <v>15</v>
      </c>
      <c r="B18" s="17" t="n">
        <f aca="false">SUMIFS(Ventas!G3:G500,Ventas!B3:B500,"&lt;&gt;Nota de crédito A",Ventas!B3:B500,"&lt;&gt;Nota de crédito B")</f>
        <v>0</v>
      </c>
      <c r="C18" s="4"/>
      <c r="D18" s="38" t="s">
        <v>31</v>
      </c>
      <c r="E18" s="39" t="n">
        <f aca="false">B5+B8</f>
        <v>0</v>
      </c>
      <c r="I18" s="1" t="s">
        <v>27</v>
      </c>
      <c r="J18" s="22" t="n">
        <f aca="false">SUMIFS(Ventas!G3:G500,Ventas!B3:B500,Referencias!B4,Ventas!J3:J500,"&lt;11",Ventas!H3:H500,Referencias!B2)
+SUMIFS(Ventas!G3:G500,Ventas!B3:B500,Referencias!B5,Ventas!H3:H500,"&lt;11",Ventas!H3:H500,Referencias!B2)</f>
        <v>0</v>
      </c>
      <c r="K18" s="19" t="n">
        <f aca="false">SUMIFS(Ventas!G3:G500,Ventas!B3:B500,Referencias!B4,Ventas!J3:J500,"&lt;21",Ventas!H3:H500,Referencias!B2)
+SUMIFS(Ventas!G3:G500,Ventas!B3:B500,Referencias!B5,Ventas!H3:H500,"&lt;21",Ventas!H3:H500,Referencias!B2)</f>
        <v>0</v>
      </c>
      <c r="L18" s="19" t="n">
        <f aca="false">SUMIFS(Ventas!G3:G500,Ventas!B3:B500,Referencias!B4,Ventas!J3:J500,"&gt;11",Ventas!J3:J500,"&lt;21",Ventas!H3:H500,Referencias!B2) +SUMIFS(Ventas!G3:G500,Ventas!B3:B500,Referencias!B5,Ventas!H3:H500,"&gt;11",Ventas!J3:J500,"&lt;21",Ventas!H3:H500,Referencias!B2)</f>
        <v>0</v>
      </c>
      <c r="M18" s="17" t="n">
        <f aca="false">SUMIFS(Ventas!G3:G500,Ventas!B3:B500,Referencias!B4,Ventas!J3:J500,"&gt;20",Ventas!H3:H500,Referencias!B2) +SUMIFS(Ventas!G3:G500,Ventas!B3:B500,Referencias!B5,Ventas!H3:H500,"&gt;20",Ventas!H3:H500,Referencias!B2)</f>
        <v>0</v>
      </c>
    </row>
    <row r="19" customFormat="false" ht="19.5" hidden="false" customHeight="true" outlineLevel="0" collapsed="false">
      <c r="A19" s="16" t="s">
        <v>17</v>
      </c>
      <c r="B19" s="17" t="n">
        <f aca="false">F13+F9+F10</f>
        <v>0</v>
      </c>
      <c r="C19" s="4"/>
      <c r="D19" s="40" t="s">
        <v>7</v>
      </c>
      <c r="E19" s="41" t="n">
        <f aca="false">E17-E18</f>
        <v>0</v>
      </c>
      <c r="J19" s="24"/>
      <c r="K19" s="25"/>
      <c r="L19" s="25"/>
      <c r="M19" s="26"/>
    </row>
    <row r="20" customFormat="false" ht="16.5" hidden="false" customHeight="true" outlineLevel="0" collapsed="false">
      <c r="A20" s="27" t="s">
        <v>19</v>
      </c>
      <c r="B20" s="28" t="n">
        <f aca="false">F7+F8+F14</f>
        <v>0</v>
      </c>
      <c r="C20" s="4"/>
      <c r="J20" s="35"/>
      <c r="K20" s="30"/>
      <c r="L20" s="30"/>
      <c r="M20" s="31"/>
    </row>
    <row r="21" customFormat="false" ht="15.75" hidden="false" customHeight="true" outlineLevel="0" collapsed="false">
      <c r="A21" s="4"/>
      <c r="B21" s="23"/>
      <c r="C21" s="4"/>
      <c r="M21" s="4"/>
    </row>
    <row r="22" customFormat="false" ht="21.75" hidden="false" customHeight="true" outlineLevel="0" collapsed="false">
      <c r="A22" s="42" t="s">
        <v>32</v>
      </c>
      <c r="B22" s="42"/>
      <c r="C22" s="4"/>
      <c r="D22" s="43" t="s">
        <v>33</v>
      </c>
      <c r="E22" s="43"/>
      <c r="F22" s="43"/>
      <c r="G22" s="43"/>
      <c r="J22" s="44"/>
      <c r="K22" s="45" t="s">
        <v>34</v>
      </c>
      <c r="L22" s="46" t="s">
        <v>35</v>
      </c>
      <c r="M22" s="4"/>
    </row>
    <row r="23" customFormat="false" ht="21.75" hidden="false" customHeight="true" outlineLevel="0" collapsed="false">
      <c r="A23" s="3" t="s">
        <v>3</v>
      </c>
      <c r="B23" s="3"/>
      <c r="C23" s="4"/>
      <c r="D23" s="43"/>
      <c r="E23" s="43"/>
      <c r="F23" s="43"/>
      <c r="G23" s="43"/>
      <c r="J23" s="3" t="s">
        <v>36</v>
      </c>
      <c r="K23" s="3"/>
      <c r="L23" s="3"/>
      <c r="M23" s="4"/>
    </row>
    <row r="24" customFormat="false" ht="20.25" hidden="false" customHeight="true" outlineLevel="0" collapsed="false">
      <c r="A24" s="16" t="s">
        <v>37</v>
      </c>
      <c r="B24" s="20" t="n">
        <f aca="false">G33</f>
        <v>-18000</v>
      </c>
      <c r="C24" s="4"/>
      <c r="D24" s="47" t="s">
        <v>38</v>
      </c>
      <c r="E24" s="47"/>
      <c r="F24" s="47"/>
      <c r="G24" s="47"/>
      <c r="J24" s="48" t="s">
        <v>39</v>
      </c>
      <c r="K24" s="49" t="n">
        <v>0</v>
      </c>
      <c r="L24" s="50" t="n">
        <f aca="false">SUMIFS(Retenciones!O3:O500,Retenciones!L3:L500,"IVA")</f>
        <v>0</v>
      </c>
      <c r="M24" s="4"/>
    </row>
    <row r="25" customFormat="false" ht="18.75" hidden="false" customHeight="true" outlineLevel="0" collapsed="false">
      <c r="A25" s="16" t="s">
        <v>39</v>
      </c>
      <c r="B25" s="20" t="n">
        <f aca="false">G27</f>
        <v>-0.00780000000000003</v>
      </c>
      <c r="C25" s="4"/>
      <c r="D25" s="51" t="s">
        <v>40</v>
      </c>
      <c r="E25" s="52" t="n">
        <f aca="false">SUM(Ventas!F3:F500)+SUMIFS(Compras!F:F,Compras!B:B,Referencias!B8)</f>
        <v>0</v>
      </c>
      <c r="F25" s="53" t="s">
        <v>41</v>
      </c>
      <c r="G25" s="54" t="n">
        <f aca="false">E25-E26</f>
        <v>0</v>
      </c>
      <c r="J25" s="55" t="s">
        <v>37</v>
      </c>
      <c r="K25" s="56" t="n">
        <v>0</v>
      </c>
      <c r="L25" s="57" t="n">
        <f aca="false">SUMIFS(Retenciones!O3:O500,Retenciones!L3:L500,"IIBB")</f>
        <v>0</v>
      </c>
      <c r="M25" s="23"/>
    </row>
    <row r="26" customFormat="false" ht="19.5" hidden="false" customHeight="true" outlineLevel="0" collapsed="false">
      <c r="A26" s="18" t="s">
        <v>42</v>
      </c>
      <c r="B26" s="17" t="n">
        <f aca="false">G37</f>
        <v>0</v>
      </c>
      <c r="C26" s="4"/>
      <c r="D26" s="51" t="s">
        <v>43</v>
      </c>
      <c r="E26" s="52" t="n">
        <f aca="false">SUMIFS(Compras!F:F,Compras!B:B,Referencias!B4)</f>
        <v>0</v>
      </c>
      <c r="F26" s="53"/>
      <c r="G26" s="53"/>
      <c r="J26" s="55" t="s">
        <v>44</v>
      </c>
      <c r="K26" s="56" t="n">
        <v>0</v>
      </c>
      <c r="L26" s="57" t="n">
        <f aca="false">SUMIFS(Retenciones!O3:O500,Retenciones!L3:L500,"Otros")</f>
        <v>0</v>
      </c>
      <c r="M26" s="4"/>
    </row>
    <row r="27" customFormat="false" ht="21.75" hidden="false" customHeight="true" outlineLevel="0" collapsed="false">
      <c r="A27" s="3" t="s">
        <v>5</v>
      </c>
      <c r="B27" s="3"/>
      <c r="C27" s="4"/>
      <c r="D27" s="51" t="s">
        <v>45</v>
      </c>
      <c r="E27" s="52" t="n">
        <f aca="false">Retenciones!L3</f>
        <v>0</v>
      </c>
      <c r="F27" s="58" t="s">
        <v>46</v>
      </c>
      <c r="G27" s="59" t="n">
        <f aca="false">G25-E29</f>
        <v>-0.00780000000000003</v>
      </c>
      <c r="J27" s="60" t="s">
        <v>47</v>
      </c>
      <c r="K27" s="60"/>
      <c r="L27" s="60"/>
      <c r="M27" s="4"/>
    </row>
    <row r="28" customFormat="false" ht="19.5" hidden="false" customHeight="true" outlineLevel="0" collapsed="false">
      <c r="A28" s="16" t="s">
        <v>37</v>
      </c>
      <c r="B28" s="61" t="e">
        <f aca="false">(B12*0.035)-(#REF!)-(#REF!)</f>
        <v>#REF!</v>
      </c>
      <c r="C28" s="4"/>
      <c r="D28" s="51" t="s">
        <v>48</v>
      </c>
      <c r="E28" s="52" t="n">
        <f aca="false">SUM(Compras!H3:H500)</f>
        <v>0.00780000000000003</v>
      </c>
      <c r="F28" s="58"/>
      <c r="G28" s="58"/>
      <c r="J28" s="62" t="s">
        <v>49</v>
      </c>
      <c r="K28" s="63" t="n">
        <v>0</v>
      </c>
      <c r="L28" s="63"/>
      <c r="M28" s="4"/>
    </row>
    <row r="29" customFormat="false" ht="18.75" hidden="false" customHeight="true" outlineLevel="0" collapsed="false">
      <c r="A29" s="16" t="s">
        <v>39</v>
      </c>
      <c r="B29" s="61" t="e">
        <f aca="false">B25-(#REF!)</f>
        <v>#REF!</v>
      </c>
      <c r="C29" s="4"/>
      <c r="D29" s="51" t="s">
        <v>50</v>
      </c>
      <c r="E29" s="52" t="n">
        <f aca="false">E27+E28</f>
        <v>0.00780000000000003</v>
      </c>
      <c r="F29" s="64"/>
      <c r="G29" s="64"/>
      <c r="M29" s="4"/>
    </row>
    <row r="30" customFormat="false" ht="19.5" hidden="false" customHeight="true" outlineLevel="0" collapsed="false">
      <c r="A30" s="18" t="s">
        <v>42</v>
      </c>
      <c r="B30" s="65" t="n">
        <f aca="false">B26/2</f>
        <v>0</v>
      </c>
      <c r="C30" s="4"/>
      <c r="D30" s="47" t="s">
        <v>51</v>
      </c>
      <c r="E30" s="47"/>
      <c r="F30" s="47"/>
      <c r="G30" s="47"/>
      <c r="J30" s="4"/>
      <c r="K30" s="4"/>
      <c r="L30" s="4"/>
      <c r="M30" s="4"/>
    </row>
    <row r="31" customFormat="false" ht="21.75" hidden="false" customHeight="true" outlineLevel="0" collapsed="false">
      <c r="A31" s="3" t="s">
        <v>6</v>
      </c>
      <c r="B31" s="3"/>
      <c r="C31" s="4"/>
      <c r="D31" s="51" t="s">
        <v>52</v>
      </c>
      <c r="E31" s="52" t="n">
        <f aca="false">B6</f>
        <v>0</v>
      </c>
      <c r="F31" s="53" t="s">
        <v>53</v>
      </c>
      <c r="G31" s="54" t="n">
        <f aca="false">E31*0.035</f>
        <v>0</v>
      </c>
      <c r="J31" s="4"/>
      <c r="K31" s="4"/>
      <c r="L31" s="4"/>
      <c r="M31" s="4"/>
    </row>
    <row r="32" customFormat="false" ht="18.75" hidden="false" customHeight="true" outlineLevel="0" collapsed="false">
      <c r="A32" s="16" t="s">
        <v>37</v>
      </c>
      <c r="B32" s="61" t="e">
        <f aca="false">(B18*0.035)-(#REF!)-(#REF!)</f>
        <v>#REF!</v>
      </c>
      <c r="D32" s="51" t="s">
        <v>54</v>
      </c>
      <c r="E32" s="52" t="n">
        <f aca="false">Retenciones!L2</f>
        <v>0</v>
      </c>
      <c r="F32" s="53"/>
      <c r="G32" s="53"/>
    </row>
    <row r="33" customFormat="false" ht="18.75" hidden="false" customHeight="true" outlineLevel="0" collapsed="false">
      <c r="A33" s="16" t="s">
        <v>39</v>
      </c>
      <c r="B33" s="61" t="e">
        <f aca="false">B25-(#REF!)</f>
        <v>#REF!</v>
      </c>
      <c r="D33" s="51" t="s">
        <v>55</v>
      </c>
      <c r="E33" s="52" t="n">
        <f aca="false">SUM(Compras!G3:G500)</f>
        <v>0</v>
      </c>
      <c r="F33" s="58" t="s">
        <v>56</v>
      </c>
      <c r="G33" s="59" t="n">
        <f aca="false">G31-E35</f>
        <v>-18000</v>
      </c>
    </row>
    <row r="34" customFormat="false" ht="19.5" hidden="false" customHeight="true" outlineLevel="0" collapsed="false">
      <c r="A34" s="32" t="s">
        <v>42</v>
      </c>
      <c r="B34" s="66" t="n">
        <f aca="false">B26/2</f>
        <v>0</v>
      </c>
      <c r="D34" s="51" t="s">
        <v>57</v>
      </c>
      <c r="E34" s="52" t="n">
        <v>18000</v>
      </c>
      <c r="F34" s="58"/>
      <c r="G34" s="58"/>
    </row>
    <row r="35" customFormat="false" ht="17.25" hidden="false" customHeight="true" outlineLevel="0" collapsed="false">
      <c r="D35" s="51" t="s">
        <v>50</v>
      </c>
      <c r="E35" s="52" t="n">
        <f aca="false">SUM(E32:E34)</f>
        <v>18000</v>
      </c>
      <c r="F35" s="58"/>
      <c r="G35" s="58"/>
    </row>
    <row r="36" customFormat="false" ht="20.25" hidden="false" customHeight="true" outlineLevel="0" collapsed="false">
      <c r="D36" s="47" t="s">
        <v>58</v>
      </c>
      <c r="E36" s="47"/>
      <c r="F36" s="47"/>
      <c r="G36" s="47"/>
    </row>
    <row r="37" customFormat="false" ht="17.25" hidden="false" customHeight="true" outlineLevel="0" collapsed="false">
      <c r="D37" s="51" t="s">
        <v>52</v>
      </c>
      <c r="E37" s="52" t="n">
        <f aca="false">B6</f>
        <v>0</v>
      </c>
      <c r="F37" s="58" t="s">
        <v>56</v>
      </c>
      <c r="G37" s="59" t="n">
        <f aca="false">(E37-E38)*0.013</f>
        <v>0</v>
      </c>
    </row>
    <row r="38" customFormat="false" ht="17.25" hidden="false" customHeight="true" outlineLevel="0" collapsed="false">
      <c r="D38" s="51" t="s">
        <v>59</v>
      </c>
      <c r="E38" s="52" t="n">
        <v>0</v>
      </c>
      <c r="F38" s="58"/>
      <c r="G38" s="58"/>
    </row>
    <row r="39" customFormat="false" ht="20.25" hidden="false" customHeight="true" outlineLevel="0" collapsed="false">
      <c r="D39" s="47" t="s">
        <v>7</v>
      </c>
      <c r="E39" s="47"/>
      <c r="F39" s="47"/>
      <c r="G39" s="47"/>
    </row>
    <row r="40" customFormat="false" ht="17.25" hidden="false" customHeight="true" outlineLevel="0" collapsed="false">
      <c r="D40" s="51" t="s">
        <v>39</v>
      </c>
      <c r="E40" s="52" t="n">
        <f aca="false">G27</f>
        <v>-0.00780000000000003</v>
      </c>
      <c r="F40" s="58" t="s">
        <v>56</v>
      </c>
      <c r="G40" s="59" t="n">
        <f aca="false">SUM(E40:E42)</f>
        <v>-18000.0078</v>
      </c>
    </row>
    <row r="41" customFormat="false" ht="17.25" hidden="false" customHeight="true" outlineLevel="0" collapsed="false">
      <c r="D41" s="51" t="s">
        <v>37</v>
      </c>
      <c r="E41" s="52" t="n">
        <f aca="false">G33</f>
        <v>-18000</v>
      </c>
      <c r="F41" s="58"/>
      <c r="G41" s="59"/>
    </row>
    <row r="42" customFormat="false" ht="17.25" hidden="false" customHeight="true" outlineLevel="0" collapsed="false">
      <c r="D42" s="51" t="s">
        <v>58</v>
      </c>
      <c r="E42" s="52" t="n">
        <f aca="false">G37</f>
        <v>0</v>
      </c>
      <c r="F42" s="58"/>
      <c r="G42" s="59"/>
    </row>
  </sheetData>
  <mergeCells count="38">
    <mergeCell ref="A1:B2"/>
    <mergeCell ref="D1:G2"/>
    <mergeCell ref="J1:M2"/>
    <mergeCell ref="A3:B3"/>
    <mergeCell ref="J3:J4"/>
    <mergeCell ref="K3:K4"/>
    <mergeCell ref="L3:L4"/>
    <mergeCell ref="M3:M4"/>
    <mergeCell ref="D4:G4"/>
    <mergeCell ref="A9:B10"/>
    <mergeCell ref="J9:M10"/>
    <mergeCell ref="D11:G11"/>
    <mergeCell ref="A15:B16"/>
    <mergeCell ref="J15:M16"/>
    <mergeCell ref="A22:B22"/>
    <mergeCell ref="D22:G23"/>
    <mergeCell ref="A23:B23"/>
    <mergeCell ref="J23:L23"/>
    <mergeCell ref="D24:G24"/>
    <mergeCell ref="F25:F26"/>
    <mergeCell ref="G25:G26"/>
    <mergeCell ref="A27:B27"/>
    <mergeCell ref="F27:F28"/>
    <mergeCell ref="G27:G28"/>
    <mergeCell ref="J27:L27"/>
    <mergeCell ref="K28:L28"/>
    <mergeCell ref="D30:G30"/>
    <mergeCell ref="A31:B31"/>
    <mergeCell ref="F31:F32"/>
    <mergeCell ref="G31:G32"/>
    <mergeCell ref="F33:F35"/>
    <mergeCell ref="G33:G35"/>
    <mergeCell ref="D36:G36"/>
    <mergeCell ref="F37:F38"/>
    <mergeCell ref="G37:G38"/>
    <mergeCell ref="D39:G39"/>
    <mergeCell ref="F40:F42"/>
    <mergeCell ref="G40:G4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500"/>
  <sheetViews>
    <sheetView showFormulas="false" showGridLines="true" showRowColHeaders="true" showZeros="true" rightToLeft="false" tabSelected="false" showOutlineSymbols="true" defaultGridColor="true" view="normal" topLeftCell="A54" colorId="64" zoomScale="85" zoomScaleNormal="85" zoomScalePageLayoutView="100" workbookViewId="0">
      <selection pane="topLeft" activeCell="A3" activeCellId="1" sqref="I30:K87 A3"/>
    </sheetView>
  </sheetViews>
  <sheetFormatPr defaultColWidth="9.22265625" defaultRowHeight="13.5" zeroHeight="false" outlineLevelRow="0" outlineLevelCol="0"/>
  <cols>
    <col collapsed="false" customWidth="true" hidden="false" outlineLevel="0" max="1" min="1" style="67" width="10.85"/>
    <col collapsed="false" customWidth="true" hidden="false" outlineLevel="0" max="2" min="2" style="1" width="19.99"/>
    <col collapsed="false" customWidth="true" hidden="false" outlineLevel="0" max="3" min="3" style="1" width="57.15"/>
    <col collapsed="false" customWidth="true" hidden="false" outlineLevel="0" max="4" min="4" style="1" width="15.71"/>
    <col collapsed="false" customWidth="true" hidden="false" outlineLevel="0" max="7" min="5" style="68" width="14.28"/>
    <col collapsed="false" customWidth="false" hidden="false" outlineLevel="0" max="8" min="8" style="69" width="9.25"/>
    <col collapsed="false" customWidth="true" hidden="false" outlineLevel="0" max="27" min="11" style="1" width="9.13"/>
  </cols>
  <sheetData>
    <row r="1" customFormat="false" ht="34.5" hidden="false" customHeight="true" outlineLevel="0" collapsed="false">
      <c r="A1" s="70" t="s">
        <v>15</v>
      </c>
      <c r="B1" s="70"/>
      <c r="C1" s="70"/>
      <c r="D1" s="70"/>
      <c r="E1" s="70"/>
      <c r="F1" s="70"/>
      <c r="G1" s="70"/>
      <c r="H1" s="70"/>
    </row>
    <row r="2" customFormat="false" ht="15" hidden="false" customHeight="true" outlineLevel="0" collapsed="false">
      <c r="A2" s="71" t="s">
        <v>60</v>
      </c>
      <c r="B2" s="72" t="s">
        <v>61</v>
      </c>
      <c r="C2" s="73" t="s">
        <v>62</v>
      </c>
      <c r="D2" s="72" t="s">
        <v>63</v>
      </c>
      <c r="E2" s="73" t="s">
        <v>64</v>
      </c>
      <c r="F2" s="72" t="s">
        <v>38</v>
      </c>
      <c r="G2" s="74" t="s">
        <v>65</v>
      </c>
      <c r="H2" s="74" t="s">
        <v>66</v>
      </c>
    </row>
    <row r="3" customFormat="false" ht="13.5" hidden="false" customHeight="true" outlineLevel="0" collapsed="false">
      <c r="J3" s="1" t="n">
        <f aca="false">DAY(A3)</f>
        <v>30</v>
      </c>
    </row>
    <row r="4" customFormat="false" ht="13.5" hidden="false" customHeight="true" outlineLevel="0" collapsed="false">
      <c r="J4" s="1" t="n">
        <f aca="false">DAY(A4)</f>
        <v>30</v>
      </c>
    </row>
    <row r="5" customFormat="false" ht="13.5" hidden="false" customHeight="true" outlineLevel="0" collapsed="false">
      <c r="J5" s="1" t="n">
        <f aca="false">DAY(A5)</f>
        <v>30</v>
      </c>
    </row>
    <row r="6" customFormat="false" ht="13.5" hidden="false" customHeight="true" outlineLevel="0" collapsed="false">
      <c r="J6" s="1" t="n">
        <f aca="false">DAY(A6)</f>
        <v>30</v>
      </c>
    </row>
    <row r="7" customFormat="false" ht="13.5" hidden="false" customHeight="true" outlineLevel="0" collapsed="false">
      <c r="J7" s="1" t="n">
        <f aca="false">DAY(A7)</f>
        <v>30</v>
      </c>
    </row>
    <row r="8" customFormat="false" ht="13.5" hidden="false" customHeight="true" outlineLevel="0" collapsed="false">
      <c r="J8" s="1" t="n">
        <f aca="false">DAY(A8)</f>
        <v>30</v>
      </c>
    </row>
    <row r="9" customFormat="false" ht="13.5" hidden="false" customHeight="true" outlineLevel="0" collapsed="false">
      <c r="J9" s="1" t="n">
        <v>5</v>
      </c>
    </row>
    <row r="10" customFormat="false" ht="13.5" hidden="false" customHeight="true" outlineLevel="0" collapsed="false">
      <c r="J10" s="1" t="n">
        <v>15</v>
      </c>
    </row>
    <row r="11" customFormat="false" ht="13.5" hidden="false" customHeight="true" outlineLevel="0" collapsed="false">
      <c r="J11" s="1" t="n">
        <f aca="false">DAY(A11)</f>
        <v>30</v>
      </c>
    </row>
    <row r="12" customFormat="false" ht="13.5" hidden="false" customHeight="true" outlineLevel="0" collapsed="false">
      <c r="J12" s="1" t="n">
        <f aca="false">DAY(A12)</f>
        <v>30</v>
      </c>
    </row>
    <row r="13" customFormat="false" ht="13.5" hidden="false" customHeight="true" outlineLevel="0" collapsed="false">
      <c r="J13" s="1" t="n">
        <f aca="false">DAY(A13)</f>
        <v>30</v>
      </c>
    </row>
    <row r="14" customFormat="false" ht="13.5" hidden="false" customHeight="true" outlineLevel="0" collapsed="false">
      <c r="J14" s="1" t="n">
        <f aca="false">DAY(A14)</f>
        <v>30</v>
      </c>
    </row>
    <row r="15" customFormat="false" ht="13.5" hidden="false" customHeight="true" outlineLevel="0" collapsed="false">
      <c r="J15" s="1" t="n">
        <f aca="false">DAY(A15)</f>
        <v>30</v>
      </c>
    </row>
    <row r="16" customFormat="false" ht="13.5" hidden="false" customHeight="true" outlineLevel="0" collapsed="false">
      <c r="J16" s="1" t="n">
        <f aca="false">DAY(A16)</f>
        <v>30</v>
      </c>
    </row>
    <row r="17" customFormat="false" ht="13.5" hidden="false" customHeight="true" outlineLevel="0" collapsed="false">
      <c r="J17" s="1" t="n">
        <f aca="false">DAY(A17)</f>
        <v>30</v>
      </c>
    </row>
    <row r="18" customFormat="false" ht="13.5" hidden="false" customHeight="true" outlineLevel="0" collapsed="false">
      <c r="J18" s="1" t="n">
        <f aca="false">DAY(A18)</f>
        <v>30</v>
      </c>
    </row>
    <row r="19" customFormat="false" ht="13.5" hidden="false" customHeight="true" outlineLevel="0" collapsed="false">
      <c r="J19" s="1" t="n">
        <f aca="false">DAY(A19)</f>
        <v>30</v>
      </c>
    </row>
    <row r="20" customFormat="false" ht="13.5" hidden="false" customHeight="true" outlineLevel="0" collapsed="false">
      <c r="J20" s="1" t="n">
        <f aca="false">DAY(A20)</f>
        <v>30</v>
      </c>
    </row>
    <row r="21" customFormat="false" ht="13.5" hidden="false" customHeight="true" outlineLevel="0" collapsed="false">
      <c r="J21" s="1" t="n">
        <f aca="false">DAY(A21)</f>
        <v>30</v>
      </c>
    </row>
    <row r="22" customFormat="false" ht="13.5" hidden="false" customHeight="true" outlineLevel="0" collapsed="false">
      <c r="J22" s="1" t="n">
        <f aca="false">DAY(A22)</f>
        <v>30</v>
      </c>
    </row>
    <row r="23" customFormat="false" ht="13.5" hidden="false" customHeight="true" outlineLevel="0" collapsed="false">
      <c r="J23" s="1" t="n">
        <f aca="false">DAY(A23)</f>
        <v>30</v>
      </c>
    </row>
    <row r="24" customFormat="false" ht="13.5" hidden="false" customHeight="true" outlineLevel="0" collapsed="false">
      <c r="J24" s="1" t="n">
        <f aca="false">DAY(A24)</f>
        <v>30</v>
      </c>
    </row>
    <row r="25" customFormat="false" ht="13.5" hidden="false" customHeight="true" outlineLevel="0" collapsed="false">
      <c r="J25" s="1" t="n">
        <f aca="false">DAY(A25)</f>
        <v>30</v>
      </c>
    </row>
    <row r="26" customFormat="false" ht="13.5" hidden="false" customHeight="true" outlineLevel="0" collapsed="false">
      <c r="J26" s="1" t="n">
        <f aca="false">DAY(A26)</f>
        <v>30</v>
      </c>
    </row>
    <row r="27" customFormat="false" ht="13.5" hidden="false" customHeight="true" outlineLevel="0" collapsed="false">
      <c r="J27" s="1" t="n">
        <f aca="false">DAY(A27)</f>
        <v>30</v>
      </c>
    </row>
    <row r="28" customFormat="false" ht="13.5" hidden="false" customHeight="true" outlineLevel="0" collapsed="false">
      <c r="J28" s="1" t="n">
        <f aca="false">DAY(A28)</f>
        <v>30</v>
      </c>
    </row>
    <row r="29" customFormat="false" ht="13.5" hidden="false" customHeight="true" outlineLevel="0" collapsed="false">
      <c r="J29" s="1" t="n">
        <f aca="false">DAY(A29)</f>
        <v>30</v>
      </c>
    </row>
    <row r="30" customFormat="false" ht="13.5" hidden="false" customHeight="true" outlineLevel="0" collapsed="false">
      <c r="J30" s="1" t="n">
        <f aca="false">DAY(A30)</f>
        <v>30</v>
      </c>
    </row>
    <row r="31" customFormat="false" ht="13.5" hidden="false" customHeight="true" outlineLevel="0" collapsed="false">
      <c r="J31" s="1" t="n">
        <f aca="false">DAY(A31)</f>
        <v>30</v>
      </c>
    </row>
    <row r="32" customFormat="false" ht="13.5" hidden="false" customHeight="true" outlineLevel="0" collapsed="false">
      <c r="J32" s="1" t="n">
        <f aca="false">DAY(A32)</f>
        <v>30</v>
      </c>
    </row>
    <row r="33" customFormat="false" ht="13.5" hidden="false" customHeight="true" outlineLevel="0" collapsed="false">
      <c r="J33" s="1" t="n">
        <f aca="false">DAY(A33)</f>
        <v>30</v>
      </c>
    </row>
    <row r="34" customFormat="false" ht="13.5" hidden="false" customHeight="true" outlineLevel="0" collapsed="false">
      <c r="J34" s="1" t="n">
        <f aca="false">DAY(A34)</f>
        <v>30</v>
      </c>
    </row>
    <row r="35" customFormat="false" ht="13.5" hidden="false" customHeight="true" outlineLevel="0" collapsed="false">
      <c r="J35" s="1" t="n">
        <f aca="false">DAY(A35)</f>
        <v>30</v>
      </c>
    </row>
    <row r="36" customFormat="false" ht="13.5" hidden="false" customHeight="true" outlineLevel="0" collapsed="false">
      <c r="J36" s="1" t="n">
        <f aca="false">DAY(A36)</f>
        <v>30</v>
      </c>
    </row>
    <row r="37" customFormat="false" ht="13.5" hidden="false" customHeight="true" outlineLevel="0" collapsed="false">
      <c r="J37" s="1" t="n">
        <f aca="false">DAY(A37)</f>
        <v>30</v>
      </c>
    </row>
    <row r="38" customFormat="false" ht="13.5" hidden="false" customHeight="true" outlineLevel="0" collapsed="false">
      <c r="J38" s="1" t="n">
        <f aca="false">DAY(A38)</f>
        <v>30</v>
      </c>
    </row>
    <row r="39" customFormat="false" ht="13.5" hidden="false" customHeight="true" outlineLevel="0" collapsed="false">
      <c r="J39" s="1" t="n">
        <f aca="false">DAY(A39)</f>
        <v>30</v>
      </c>
    </row>
    <row r="40" customFormat="false" ht="13.5" hidden="false" customHeight="true" outlineLevel="0" collapsed="false">
      <c r="J40" s="1" t="n">
        <f aca="false">DAY(A40)</f>
        <v>30</v>
      </c>
    </row>
    <row r="41" customFormat="false" ht="13.5" hidden="false" customHeight="true" outlineLevel="0" collapsed="false">
      <c r="J41" s="1" t="n">
        <f aca="false">DAY(A41)</f>
        <v>30</v>
      </c>
    </row>
    <row r="42" customFormat="false" ht="13.5" hidden="false" customHeight="true" outlineLevel="0" collapsed="false">
      <c r="J42" s="1" t="n">
        <f aca="false">DAY(A42)</f>
        <v>30</v>
      </c>
    </row>
    <row r="43" customFormat="false" ht="13.5" hidden="false" customHeight="true" outlineLevel="0" collapsed="false">
      <c r="J43" s="1" t="n">
        <f aca="false">DAY(A43)</f>
        <v>30</v>
      </c>
    </row>
    <row r="44" customFormat="false" ht="13.5" hidden="false" customHeight="true" outlineLevel="0" collapsed="false">
      <c r="J44" s="1" t="n">
        <f aca="false">DAY(A44)</f>
        <v>30</v>
      </c>
    </row>
    <row r="45" customFormat="false" ht="13.5" hidden="false" customHeight="true" outlineLevel="0" collapsed="false">
      <c r="J45" s="1" t="n">
        <f aca="false">DAY(A45)</f>
        <v>30</v>
      </c>
    </row>
    <row r="46" customFormat="false" ht="13.5" hidden="false" customHeight="true" outlineLevel="0" collapsed="false">
      <c r="J46" s="1" t="n">
        <f aca="false">DAY(A46)</f>
        <v>30</v>
      </c>
    </row>
    <row r="47" customFormat="false" ht="13.5" hidden="false" customHeight="true" outlineLevel="0" collapsed="false">
      <c r="J47" s="1" t="n">
        <f aca="false">DAY(A47)</f>
        <v>30</v>
      </c>
    </row>
    <row r="48" customFormat="false" ht="13.5" hidden="false" customHeight="true" outlineLevel="0" collapsed="false">
      <c r="J48" s="1" t="n">
        <f aca="false">DAY(A48)</f>
        <v>30</v>
      </c>
    </row>
    <row r="49" customFormat="false" ht="13.5" hidden="false" customHeight="true" outlineLevel="0" collapsed="false">
      <c r="J49" s="1" t="n">
        <f aca="false">DAY(A49)</f>
        <v>30</v>
      </c>
    </row>
    <row r="50" customFormat="false" ht="13.5" hidden="false" customHeight="true" outlineLevel="0" collapsed="false">
      <c r="J50" s="1" t="n">
        <f aca="false">DAY(A50)</f>
        <v>30</v>
      </c>
    </row>
    <row r="51" customFormat="false" ht="13.5" hidden="false" customHeight="true" outlineLevel="0" collapsed="false">
      <c r="J51" s="1" t="n">
        <f aca="false">DAY(A51)</f>
        <v>30</v>
      </c>
    </row>
    <row r="52" customFormat="false" ht="13.5" hidden="false" customHeight="true" outlineLevel="0" collapsed="false">
      <c r="J52" s="1" t="n">
        <f aca="false">DAY(A52)</f>
        <v>30</v>
      </c>
    </row>
    <row r="53" customFormat="false" ht="13.5" hidden="false" customHeight="true" outlineLevel="0" collapsed="false">
      <c r="J53" s="1" t="n">
        <f aca="false">DAY(A53)</f>
        <v>30</v>
      </c>
    </row>
    <row r="54" customFormat="false" ht="13.5" hidden="false" customHeight="true" outlineLevel="0" collapsed="false">
      <c r="J54" s="1" t="n">
        <f aca="false">DAY(A54)</f>
        <v>30</v>
      </c>
    </row>
    <row r="55" customFormat="false" ht="13.5" hidden="false" customHeight="true" outlineLevel="0" collapsed="false">
      <c r="J55" s="1" t="n">
        <f aca="false">DAY(A55)</f>
        <v>30</v>
      </c>
    </row>
    <row r="56" customFormat="false" ht="13.5" hidden="false" customHeight="true" outlineLevel="0" collapsed="false">
      <c r="J56" s="1" t="n">
        <f aca="false">DAY(A56)</f>
        <v>30</v>
      </c>
    </row>
    <row r="57" customFormat="false" ht="13.5" hidden="false" customHeight="true" outlineLevel="0" collapsed="false">
      <c r="J57" s="1" t="n">
        <f aca="false">DAY(A57)</f>
        <v>30</v>
      </c>
    </row>
    <row r="58" customFormat="false" ht="13.5" hidden="false" customHeight="true" outlineLevel="0" collapsed="false">
      <c r="J58" s="1" t="n">
        <f aca="false">DAY(A58)</f>
        <v>30</v>
      </c>
    </row>
    <row r="59" customFormat="false" ht="13.5" hidden="false" customHeight="true" outlineLevel="0" collapsed="false">
      <c r="J59" s="1" t="n">
        <f aca="false">DAY(A59)</f>
        <v>30</v>
      </c>
    </row>
    <row r="60" customFormat="false" ht="13.5" hidden="false" customHeight="true" outlineLevel="0" collapsed="false">
      <c r="J60" s="1" t="n">
        <f aca="false">DAY(A60)</f>
        <v>30</v>
      </c>
    </row>
    <row r="61" customFormat="false" ht="13.5" hidden="false" customHeight="true" outlineLevel="0" collapsed="false">
      <c r="J61" s="1" t="n">
        <f aca="false">DAY(A61)</f>
        <v>30</v>
      </c>
    </row>
    <row r="62" customFormat="false" ht="13.5" hidden="false" customHeight="true" outlineLevel="0" collapsed="false">
      <c r="J62" s="1" t="n">
        <f aca="false">DAY(A62)</f>
        <v>30</v>
      </c>
    </row>
    <row r="63" customFormat="false" ht="13.5" hidden="false" customHeight="true" outlineLevel="0" collapsed="false">
      <c r="J63" s="1" t="n">
        <f aca="false">DAY(A63)</f>
        <v>30</v>
      </c>
    </row>
    <row r="64" customFormat="false" ht="13.5" hidden="false" customHeight="true" outlineLevel="0" collapsed="false">
      <c r="J64" s="1" t="n">
        <f aca="false">DAY(A64)</f>
        <v>30</v>
      </c>
    </row>
    <row r="65" customFormat="false" ht="13.5" hidden="false" customHeight="true" outlineLevel="0" collapsed="false">
      <c r="J65" s="1" t="n">
        <f aca="false">DAY(A65)</f>
        <v>30</v>
      </c>
    </row>
    <row r="66" customFormat="false" ht="13.5" hidden="false" customHeight="true" outlineLevel="0" collapsed="false">
      <c r="J66" s="1" t="n">
        <f aca="false">DAY(A66)</f>
        <v>30</v>
      </c>
    </row>
    <row r="67" customFormat="false" ht="13.5" hidden="false" customHeight="true" outlineLevel="0" collapsed="false">
      <c r="J67" s="1" t="n">
        <f aca="false">DAY(A67)</f>
        <v>30</v>
      </c>
    </row>
    <row r="68" customFormat="false" ht="13.5" hidden="false" customHeight="true" outlineLevel="0" collapsed="false">
      <c r="J68" s="1" t="n">
        <f aca="false">DAY(A68)</f>
        <v>30</v>
      </c>
    </row>
    <row r="69" customFormat="false" ht="13.5" hidden="false" customHeight="true" outlineLevel="0" collapsed="false">
      <c r="J69" s="1" t="n">
        <f aca="false">DAY(A69)</f>
        <v>30</v>
      </c>
    </row>
    <row r="70" customFormat="false" ht="13.5" hidden="false" customHeight="true" outlineLevel="0" collapsed="false">
      <c r="J70" s="1" t="n">
        <f aca="false">DAY(A70)</f>
        <v>30</v>
      </c>
    </row>
    <row r="71" customFormat="false" ht="13.5" hidden="false" customHeight="true" outlineLevel="0" collapsed="false">
      <c r="J71" s="1" t="n">
        <f aca="false">DAY(A71)</f>
        <v>30</v>
      </c>
    </row>
    <row r="72" customFormat="false" ht="13.5" hidden="false" customHeight="true" outlineLevel="0" collapsed="false">
      <c r="J72" s="1" t="n">
        <f aca="false">DAY(A72)</f>
        <v>30</v>
      </c>
    </row>
    <row r="73" customFormat="false" ht="13.5" hidden="false" customHeight="true" outlineLevel="0" collapsed="false">
      <c r="J73" s="1" t="n">
        <f aca="false">DAY(A73)</f>
        <v>30</v>
      </c>
    </row>
    <row r="74" customFormat="false" ht="13.5" hidden="false" customHeight="true" outlineLevel="0" collapsed="false">
      <c r="J74" s="1" t="n">
        <v>15</v>
      </c>
    </row>
    <row r="75" customFormat="false" ht="13.5" hidden="false" customHeight="true" outlineLevel="0" collapsed="false">
      <c r="J75" s="1" t="n">
        <v>5</v>
      </c>
    </row>
    <row r="76" customFormat="false" ht="13.5" hidden="false" customHeight="true" outlineLevel="0" collapsed="false">
      <c r="J76" s="1" t="n">
        <f aca="false">DAY(A76)</f>
        <v>30</v>
      </c>
    </row>
    <row r="77" customFormat="false" ht="13.5" hidden="false" customHeight="true" outlineLevel="0" collapsed="false">
      <c r="J77" s="1" t="n">
        <f aca="false">DAY(A77)</f>
        <v>30</v>
      </c>
    </row>
    <row r="78" customFormat="false" ht="13.5" hidden="false" customHeight="true" outlineLevel="0" collapsed="false">
      <c r="J78" s="1" t="n">
        <f aca="false">DAY(A78)</f>
        <v>30</v>
      </c>
    </row>
    <row r="79" customFormat="false" ht="13.5" hidden="false" customHeight="true" outlineLevel="0" collapsed="false">
      <c r="J79" s="1" t="n">
        <f aca="false">DAY(A79)</f>
        <v>30</v>
      </c>
    </row>
    <row r="80" customFormat="false" ht="13.5" hidden="false" customHeight="true" outlineLevel="0" collapsed="false">
      <c r="J80" s="1" t="n">
        <f aca="false">DAY(A80)</f>
        <v>30</v>
      </c>
    </row>
    <row r="81" customFormat="false" ht="13.5" hidden="false" customHeight="true" outlineLevel="0" collapsed="false">
      <c r="J81" s="1" t="n">
        <f aca="false">DAY(A81)</f>
        <v>30</v>
      </c>
    </row>
    <row r="82" customFormat="false" ht="13.5" hidden="false" customHeight="true" outlineLevel="0" collapsed="false">
      <c r="J82" s="1" t="n">
        <f aca="false">DAY(A82)</f>
        <v>30</v>
      </c>
    </row>
    <row r="83" customFormat="false" ht="15" hidden="false" customHeight="true" outlineLevel="0" collapsed="false">
      <c r="J83" s="1" t="n">
        <f aca="false">DAY(A83)</f>
        <v>30</v>
      </c>
    </row>
    <row r="84" customFormat="false" ht="15" hidden="false" customHeight="true" outlineLevel="0" collapsed="false">
      <c r="J84" s="1" t="n">
        <f aca="false">DAY(A84)</f>
        <v>30</v>
      </c>
    </row>
    <row r="85" customFormat="false" ht="15" hidden="false" customHeight="true" outlineLevel="0" collapsed="false">
      <c r="J85" s="1" t="n">
        <f aca="false">DAY(A85)</f>
        <v>30</v>
      </c>
    </row>
    <row r="86" customFormat="false" ht="15" hidden="false" customHeight="true" outlineLevel="0" collapsed="false">
      <c r="J86" s="1" t="n">
        <f aca="false">DAY(A86)</f>
        <v>30</v>
      </c>
    </row>
    <row r="87" customFormat="false" ht="15" hidden="false" customHeight="true" outlineLevel="0" collapsed="false">
      <c r="J87" s="1" t="n">
        <f aca="false">DAY(A87)</f>
        <v>30</v>
      </c>
    </row>
    <row r="88" customFormat="false" ht="15" hidden="false" customHeight="true" outlineLevel="0" collapsed="false">
      <c r="J88" s="1" t="n">
        <f aca="false">DAY(A88)</f>
        <v>30</v>
      </c>
    </row>
    <row r="89" customFormat="false" ht="15" hidden="false" customHeight="true" outlineLevel="0" collapsed="false">
      <c r="J89" s="1" t="n">
        <f aca="false">DAY(A89)</f>
        <v>30</v>
      </c>
    </row>
    <row r="90" customFormat="false" ht="15" hidden="false" customHeight="true" outlineLevel="0" collapsed="false">
      <c r="J90" s="1" t="n">
        <f aca="false">DAY(A90)</f>
        <v>30</v>
      </c>
    </row>
    <row r="91" customFormat="false" ht="15" hidden="false" customHeight="true" outlineLevel="0" collapsed="false">
      <c r="J91" s="1" t="n">
        <f aca="false">DAY(A91)</f>
        <v>30</v>
      </c>
    </row>
    <row r="92" customFormat="false" ht="15" hidden="false" customHeight="true" outlineLevel="0" collapsed="false">
      <c r="J92" s="1" t="n">
        <f aca="false">DAY(A92)</f>
        <v>30</v>
      </c>
    </row>
    <row r="93" customFormat="false" ht="15" hidden="false" customHeight="true" outlineLevel="0" collapsed="false">
      <c r="J93" s="1" t="n">
        <f aca="false">DAY(A93)</f>
        <v>30</v>
      </c>
    </row>
    <row r="94" customFormat="false" ht="15" hidden="false" customHeight="true" outlineLevel="0" collapsed="false">
      <c r="J94" s="1" t="n">
        <f aca="false">DAY(A94)</f>
        <v>30</v>
      </c>
    </row>
    <row r="95" customFormat="false" ht="15" hidden="false" customHeight="true" outlineLevel="0" collapsed="false">
      <c r="J95" s="1" t="n">
        <f aca="false">DAY(A95)</f>
        <v>30</v>
      </c>
    </row>
    <row r="96" customFormat="false" ht="15" hidden="false" customHeight="true" outlineLevel="0" collapsed="false">
      <c r="J96" s="1" t="n">
        <f aca="false">DAY(A96)</f>
        <v>30</v>
      </c>
    </row>
    <row r="97" customFormat="false" ht="15" hidden="false" customHeight="true" outlineLevel="0" collapsed="false">
      <c r="J97" s="1" t="n">
        <f aca="false">DAY(A97)</f>
        <v>30</v>
      </c>
    </row>
    <row r="98" customFormat="false" ht="15" hidden="false" customHeight="true" outlineLevel="0" collapsed="false">
      <c r="J98" s="1" t="n">
        <f aca="false">DAY(A98)</f>
        <v>30</v>
      </c>
    </row>
    <row r="99" customFormat="false" ht="15" hidden="false" customHeight="true" outlineLevel="0" collapsed="false">
      <c r="J99" s="1" t="n">
        <f aca="false">DAY(A99)</f>
        <v>30</v>
      </c>
    </row>
    <row r="100" customFormat="false" ht="15" hidden="false" customHeight="true" outlineLevel="0" collapsed="false">
      <c r="J100" s="1" t="n">
        <f aca="false">DAY(A100)</f>
        <v>30</v>
      </c>
    </row>
    <row r="101" customFormat="false" ht="15" hidden="false" customHeight="true" outlineLevel="0" collapsed="false">
      <c r="J101" s="1" t="n">
        <f aca="false">DAY(A101)</f>
        <v>30</v>
      </c>
    </row>
    <row r="102" customFormat="false" ht="15" hidden="false" customHeight="true" outlineLevel="0" collapsed="false">
      <c r="J102" s="1" t="n">
        <f aca="false">DAY(A102)</f>
        <v>30</v>
      </c>
    </row>
    <row r="103" customFormat="false" ht="15" hidden="false" customHeight="true" outlineLevel="0" collapsed="false">
      <c r="J103" s="1" t="n">
        <f aca="false">DAY(A103)</f>
        <v>30</v>
      </c>
    </row>
    <row r="104" customFormat="false" ht="15" hidden="false" customHeight="true" outlineLevel="0" collapsed="false">
      <c r="J104" s="1" t="n">
        <f aca="false">DAY(A104)</f>
        <v>30</v>
      </c>
    </row>
    <row r="105" customFormat="false" ht="15" hidden="false" customHeight="true" outlineLevel="0" collapsed="false">
      <c r="J105" s="1" t="n">
        <f aca="false">DAY(A105)</f>
        <v>30</v>
      </c>
    </row>
    <row r="106" customFormat="false" ht="15" hidden="false" customHeight="true" outlineLevel="0" collapsed="false">
      <c r="J106" s="1" t="n">
        <f aca="false">DAY(A106)</f>
        <v>30</v>
      </c>
    </row>
    <row r="107" customFormat="false" ht="15" hidden="false" customHeight="true" outlineLevel="0" collapsed="false">
      <c r="J107" s="1" t="n">
        <f aca="false">DAY(A107)</f>
        <v>30</v>
      </c>
    </row>
    <row r="108" customFormat="false" ht="15" hidden="false" customHeight="true" outlineLevel="0" collapsed="false">
      <c r="J108" s="1" t="n">
        <f aca="false">DAY(A108)</f>
        <v>30</v>
      </c>
    </row>
    <row r="109" customFormat="false" ht="15" hidden="false" customHeight="true" outlineLevel="0" collapsed="false">
      <c r="J109" s="1" t="n">
        <f aca="false">DAY(A109)</f>
        <v>30</v>
      </c>
    </row>
    <row r="110" customFormat="false" ht="15" hidden="false" customHeight="true" outlineLevel="0" collapsed="false">
      <c r="J110" s="1" t="n">
        <f aca="false">DAY(A110)</f>
        <v>30</v>
      </c>
    </row>
    <row r="111" customFormat="false" ht="15" hidden="false" customHeight="true" outlineLevel="0" collapsed="false">
      <c r="J111" s="1" t="n">
        <f aca="false">DAY(A111)</f>
        <v>30</v>
      </c>
    </row>
    <row r="112" customFormat="false" ht="15" hidden="false" customHeight="true" outlineLevel="0" collapsed="false">
      <c r="J112" s="1" t="n">
        <f aca="false">DAY(A112)</f>
        <v>30</v>
      </c>
    </row>
    <row r="113" customFormat="false" ht="15" hidden="false" customHeight="true" outlineLevel="0" collapsed="false">
      <c r="J113" s="1" t="n">
        <f aca="false">DAY(A113)</f>
        <v>30</v>
      </c>
    </row>
    <row r="114" customFormat="false" ht="15" hidden="false" customHeight="true" outlineLevel="0" collapsed="false">
      <c r="J114" s="1" t="n">
        <f aca="false">DAY(A114)</f>
        <v>30</v>
      </c>
    </row>
    <row r="115" customFormat="false" ht="15" hidden="false" customHeight="true" outlineLevel="0" collapsed="false">
      <c r="J115" s="1" t="n">
        <f aca="false">DAY(A115)</f>
        <v>30</v>
      </c>
    </row>
    <row r="116" customFormat="false" ht="15" hidden="false" customHeight="true" outlineLevel="0" collapsed="false">
      <c r="J116" s="1" t="n">
        <f aca="false">DAY(A116)</f>
        <v>30</v>
      </c>
    </row>
    <row r="117" customFormat="false" ht="15" hidden="false" customHeight="true" outlineLevel="0" collapsed="false">
      <c r="J117" s="1" t="n">
        <f aca="false">DAY(A117)</f>
        <v>30</v>
      </c>
    </row>
    <row r="118" customFormat="false" ht="15" hidden="false" customHeight="true" outlineLevel="0" collapsed="false">
      <c r="J118" s="1" t="n">
        <f aca="false">DAY(A118)</f>
        <v>30</v>
      </c>
    </row>
    <row r="119" customFormat="false" ht="15" hidden="false" customHeight="true" outlineLevel="0" collapsed="false">
      <c r="J119" s="1" t="n">
        <f aca="false">DAY(A119)</f>
        <v>30</v>
      </c>
    </row>
    <row r="120" customFormat="false" ht="15" hidden="false" customHeight="true" outlineLevel="0" collapsed="false">
      <c r="J120" s="1" t="n">
        <f aca="false">DAY(A120)</f>
        <v>30</v>
      </c>
    </row>
    <row r="121" customFormat="false" ht="15" hidden="false" customHeight="true" outlineLevel="0" collapsed="false">
      <c r="J121" s="1" t="n">
        <f aca="false">DAY(A121)</f>
        <v>30</v>
      </c>
    </row>
    <row r="122" customFormat="false" ht="15" hidden="false" customHeight="true" outlineLevel="0" collapsed="false">
      <c r="J122" s="1" t="n">
        <f aca="false">DAY(A122)</f>
        <v>30</v>
      </c>
    </row>
    <row r="123" customFormat="false" ht="15" hidden="false" customHeight="true" outlineLevel="0" collapsed="false">
      <c r="J123" s="1" t="n">
        <f aca="false">DAY(A123)</f>
        <v>30</v>
      </c>
    </row>
    <row r="124" customFormat="false" ht="15" hidden="false" customHeight="true" outlineLevel="0" collapsed="false">
      <c r="J124" s="1" t="n">
        <f aca="false">DAY(A124)</f>
        <v>30</v>
      </c>
    </row>
    <row r="125" customFormat="false" ht="15" hidden="false" customHeight="true" outlineLevel="0" collapsed="false">
      <c r="J125" s="1" t="n">
        <f aca="false">DAY(A125)</f>
        <v>30</v>
      </c>
    </row>
    <row r="126" customFormat="false" ht="15" hidden="false" customHeight="true" outlineLevel="0" collapsed="false">
      <c r="J126" s="1" t="n">
        <f aca="false">DAY(A126)</f>
        <v>30</v>
      </c>
    </row>
    <row r="127" customFormat="false" ht="15" hidden="false" customHeight="true" outlineLevel="0" collapsed="false">
      <c r="J127" s="1" t="n">
        <f aca="false">DAY(A127)</f>
        <v>30</v>
      </c>
    </row>
    <row r="128" customFormat="false" ht="15" hidden="false" customHeight="true" outlineLevel="0" collapsed="false">
      <c r="J128" s="1" t="n">
        <f aca="false">DAY(A128)</f>
        <v>30</v>
      </c>
    </row>
    <row r="129" customFormat="false" ht="15" hidden="false" customHeight="true" outlineLevel="0" collapsed="false">
      <c r="J129" s="1" t="n">
        <f aca="false">DAY(A129)</f>
        <v>30</v>
      </c>
    </row>
    <row r="130" customFormat="false" ht="15" hidden="false" customHeight="true" outlineLevel="0" collapsed="false">
      <c r="J130" s="1" t="n">
        <f aca="false">DAY(A130)</f>
        <v>30</v>
      </c>
    </row>
    <row r="131" customFormat="false" ht="15" hidden="false" customHeight="true" outlineLevel="0" collapsed="false">
      <c r="J131" s="1" t="n">
        <f aca="false">DAY(A131)</f>
        <v>30</v>
      </c>
    </row>
    <row r="132" customFormat="false" ht="15" hidden="false" customHeight="true" outlineLevel="0" collapsed="false">
      <c r="J132" s="1" t="n">
        <f aca="false">DAY(A132)</f>
        <v>30</v>
      </c>
    </row>
    <row r="133" customFormat="false" ht="15" hidden="false" customHeight="true" outlineLevel="0" collapsed="false">
      <c r="J133" s="1" t="n">
        <f aca="false">DAY(A133)</f>
        <v>30</v>
      </c>
    </row>
    <row r="134" customFormat="false" ht="15" hidden="false" customHeight="true" outlineLevel="0" collapsed="false">
      <c r="J134" s="1" t="n">
        <f aca="false">DAY(A134)</f>
        <v>30</v>
      </c>
    </row>
    <row r="135" customFormat="false" ht="15" hidden="false" customHeight="true" outlineLevel="0" collapsed="false">
      <c r="J135" s="1" t="n">
        <f aca="false">DAY(A135)</f>
        <v>30</v>
      </c>
    </row>
    <row r="136" customFormat="false" ht="15" hidden="false" customHeight="true" outlineLevel="0" collapsed="false">
      <c r="J136" s="1" t="n">
        <f aca="false">DAY(A136)</f>
        <v>30</v>
      </c>
    </row>
    <row r="137" customFormat="false" ht="15" hidden="false" customHeight="true" outlineLevel="0" collapsed="false">
      <c r="J137" s="1" t="n">
        <f aca="false">DAY(A137)</f>
        <v>30</v>
      </c>
    </row>
    <row r="138" customFormat="false" ht="15" hidden="false" customHeight="true" outlineLevel="0" collapsed="false">
      <c r="J138" s="1" t="n">
        <f aca="false">DAY(A138)</f>
        <v>30</v>
      </c>
    </row>
    <row r="139" customFormat="false" ht="15" hidden="false" customHeight="true" outlineLevel="0" collapsed="false">
      <c r="J139" s="1" t="n">
        <f aca="false">DAY(A139)</f>
        <v>30</v>
      </c>
    </row>
    <row r="140" customFormat="false" ht="15" hidden="false" customHeight="true" outlineLevel="0" collapsed="false">
      <c r="J140" s="1" t="n">
        <f aca="false">DAY(A140)</f>
        <v>30</v>
      </c>
    </row>
    <row r="141" customFormat="false" ht="15" hidden="false" customHeight="true" outlineLevel="0" collapsed="false">
      <c r="J141" s="1" t="n">
        <f aca="false">DAY(A141)</f>
        <v>30</v>
      </c>
    </row>
    <row r="142" customFormat="false" ht="15" hidden="false" customHeight="true" outlineLevel="0" collapsed="false">
      <c r="J142" s="1" t="n">
        <f aca="false">DAY(A142)</f>
        <v>30</v>
      </c>
    </row>
    <row r="143" customFormat="false" ht="15" hidden="false" customHeight="true" outlineLevel="0" collapsed="false">
      <c r="J143" s="1" t="n">
        <f aca="false">DAY(A143)</f>
        <v>30</v>
      </c>
    </row>
    <row r="144" customFormat="false" ht="15" hidden="false" customHeight="true" outlineLevel="0" collapsed="false">
      <c r="J144" s="1" t="n">
        <f aca="false">DAY(A144)</f>
        <v>30</v>
      </c>
    </row>
    <row r="145" customFormat="false" ht="15" hidden="false" customHeight="true" outlineLevel="0" collapsed="false">
      <c r="J145" s="1" t="n">
        <f aca="false">DAY(A145)</f>
        <v>30</v>
      </c>
    </row>
    <row r="146" customFormat="false" ht="15" hidden="false" customHeight="true" outlineLevel="0" collapsed="false">
      <c r="J146" s="1" t="n">
        <f aca="false">DAY(A146)</f>
        <v>30</v>
      </c>
    </row>
    <row r="147" customFormat="false" ht="15" hidden="false" customHeight="true" outlineLevel="0" collapsed="false">
      <c r="J147" s="1" t="n">
        <f aca="false">DAY(A147)</f>
        <v>30</v>
      </c>
    </row>
    <row r="148" customFormat="false" ht="15" hidden="false" customHeight="true" outlineLevel="0" collapsed="false">
      <c r="J148" s="1" t="n">
        <f aca="false">DAY(A148)</f>
        <v>30</v>
      </c>
    </row>
    <row r="149" customFormat="false" ht="15" hidden="false" customHeight="true" outlineLevel="0" collapsed="false">
      <c r="J149" s="1" t="n">
        <f aca="false">DAY(A149)</f>
        <v>30</v>
      </c>
    </row>
    <row r="150" customFormat="false" ht="15" hidden="false" customHeight="true" outlineLevel="0" collapsed="false">
      <c r="J150" s="1" t="n">
        <f aca="false">DAY(A150)</f>
        <v>30</v>
      </c>
    </row>
    <row r="151" customFormat="false" ht="15" hidden="false" customHeight="true" outlineLevel="0" collapsed="false">
      <c r="J151" s="1" t="n">
        <f aca="false">DAY(A151)</f>
        <v>30</v>
      </c>
    </row>
    <row r="152" customFormat="false" ht="15" hidden="false" customHeight="true" outlineLevel="0" collapsed="false">
      <c r="J152" s="1" t="n">
        <f aca="false">DAY(A152)</f>
        <v>30</v>
      </c>
    </row>
    <row r="153" customFormat="false" ht="15" hidden="false" customHeight="true" outlineLevel="0" collapsed="false">
      <c r="J153" s="1" t="n">
        <f aca="false">DAY(A153)</f>
        <v>30</v>
      </c>
    </row>
    <row r="154" customFormat="false" ht="15" hidden="false" customHeight="true" outlineLevel="0" collapsed="false">
      <c r="J154" s="1" t="n">
        <f aca="false">DAY(A154)</f>
        <v>30</v>
      </c>
    </row>
    <row r="155" customFormat="false" ht="15" hidden="false" customHeight="true" outlineLevel="0" collapsed="false">
      <c r="J155" s="1" t="n">
        <f aca="false">DAY(A155)</f>
        <v>30</v>
      </c>
    </row>
    <row r="156" customFormat="false" ht="15" hidden="false" customHeight="true" outlineLevel="0" collapsed="false">
      <c r="J156" s="1" t="n">
        <f aca="false">DAY(A156)</f>
        <v>30</v>
      </c>
    </row>
    <row r="157" customFormat="false" ht="15" hidden="false" customHeight="true" outlineLevel="0" collapsed="false">
      <c r="J157" s="1" t="n">
        <f aca="false">DAY(A157)</f>
        <v>30</v>
      </c>
    </row>
    <row r="158" customFormat="false" ht="15" hidden="false" customHeight="true" outlineLevel="0" collapsed="false">
      <c r="J158" s="1" t="n">
        <f aca="false">DAY(A158)</f>
        <v>30</v>
      </c>
    </row>
    <row r="159" customFormat="false" ht="15" hidden="false" customHeight="true" outlineLevel="0" collapsed="false">
      <c r="J159" s="1" t="n">
        <f aca="false">DAY(A159)</f>
        <v>30</v>
      </c>
    </row>
    <row r="160" customFormat="false" ht="15" hidden="false" customHeight="true" outlineLevel="0" collapsed="false">
      <c r="J160" s="1" t="n">
        <f aca="false">DAY(A160)</f>
        <v>30</v>
      </c>
    </row>
    <row r="161" customFormat="false" ht="15" hidden="false" customHeight="true" outlineLevel="0" collapsed="false">
      <c r="J161" s="1" t="n">
        <f aca="false">DAY(A161)</f>
        <v>30</v>
      </c>
    </row>
    <row r="162" customFormat="false" ht="15" hidden="false" customHeight="true" outlineLevel="0" collapsed="false">
      <c r="J162" s="1" t="n">
        <f aca="false">DAY(A162)</f>
        <v>30</v>
      </c>
    </row>
    <row r="163" customFormat="false" ht="15" hidden="false" customHeight="true" outlineLevel="0" collapsed="false">
      <c r="J163" s="1" t="n">
        <f aca="false">DAY(A163)</f>
        <v>30</v>
      </c>
    </row>
    <row r="164" customFormat="false" ht="15" hidden="false" customHeight="true" outlineLevel="0" collapsed="false">
      <c r="J164" s="1" t="n">
        <f aca="false">DAY(A164)</f>
        <v>30</v>
      </c>
    </row>
    <row r="165" customFormat="false" ht="15" hidden="false" customHeight="true" outlineLevel="0" collapsed="false">
      <c r="J165" s="1" t="n">
        <f aca="false">DAY(A165)</f>
        <v>30</v>
      </c>
    </row>
    <row r="166" customFormat="false" ht="15" hidden="false" customHeight="true" outlineLevel="0" collapsed="false">
      <c r="J166" s="1" t="n">
        <f aca="false">DAY(A166)</f>
        <v>30</v>
      </c>
    </row>
    <row r="167" customFormat="false" ht="15" hidden="false" customHeight="true" outlineLevel="0" collapsed="false">
      <c r="J167" s="1" t="n">
        <f aca="false">DAY(A167)</f>
        <v>30</v>
      </c>
    </row>
    <row r="168" customFormat="false" ht="15" hidden="false" customHeight="true" outlineLevel="0" collapsed="false">
      <c r="J168" s="1" t="n">
        <f aca="false">DAY(A168)</f>
        <v>30</v>
      </c>
    </row>
    <row r="169" customFormat="false" ht="15" hidden="false" customHeight="true" outlineLevel="0" collapsed="false">
      <c r="J169" s="1" t="n">
        <f aca="false">DAY(A169)</f>
        <v>30</v>
      </c>
    </row>
    <row r="170" customFormat="false" ht="15" hidden="false" customHeight="true" outlineLevel="0" collapsed="false">
      <c r="J170" s="1" t="n">
        <f aca="false">DAY(A170)</f>
        <v>30</v>
      </c>
    </row>
    <row r="171" customFormat="false" ht="15" hidden="false" customHeight="true" outlineLevel="0" collapsed="false">
      <c r="J171" s="1" t="n">
        <f aca="false">DAY(A171)</f>
        <v>30</v>
      </c>
    </row>
    <row r="172" customFormat="false" ht="15" hidden="false" customHeight="true" outlineLevel="0" collapsed="false">
      <c r="J172" s="1" t="n">
        <f aca="false">DAY(A172)</f>
        <v>30</v>
      </c>
    </row>
    <row r="173" customFormat="false" ht="15" hidden="false" customHeight="true" outlineLevel="0" collapsed="false">
      <c r="J173" s="1" t="n">
        <f aca="false">DAY(A173)</f>
        <v>30</v>
      </c>
    </row>
    <row r="174" customFormat="false" ht="15" hidden="false" customHeight="true" outlineLevel="0" collapsed="false">
      <c r="J174" s="1" t="n">
        <f aca="false">DAY(A174)</f>
        <v>30</v>
      </c>
    </row>
    <row r="175" customFormat="false" ht="15" hidden="false" customHeight="true" outlineLevel="0" collapsed="false">
      <c r="J175" s="1" t="n">
        <f aca="false">DAY(A175)</f>
        <v>30</v>
      </c>
    </row>
    <row r="176" customFormat="false" ht="15" hidden="false" customHeight="true" outlineLevel="0" collapsed="false">
      <c r="J176" s="1" t="n">
        <f aca="false">DAY(A176)</f>
        <v>30</v>
      </c>
    </row>
    <row r="177" customFormat="false" ht="15" hidden="false" customHeight="true" outlineLevel="0" collapsed="false">
      <c r="J177" s="1" t="n">
        <f aca="false">DAY(A177)</f>
        <v>30</v>
      </c>
    </row>
    <row r="178" customFormat="false" ht="15" hidden="false" customHeight="true" outlineLevel="0" collapsed="false">
      <c r="J178" s="1" t="n">
        <f aca="false">DAY(A178)</f>
        <v>30</v>
      </c>
    </row>
    <row r="179" customFormat="false" ht="15" hidden="false" customHeight="true" outlineLevel="0" collapsed="false">
      <c r="J179" s="1" t="n">
        <f aca="false">DAY(A179)</f>
        <v>30</v>
      </c>
    </row>
    <row r="180" customFormat="false" ht="15" hidden="false" customHeight="true" outlineLevel="0" collapsed="false">
      <c r="J180" s="1" t="n">
        <f aca="false">DAY(A180)</f>
        <v>30</v>
      </c>
    </row>
    <row r="181" customFormat="false" ht="15" hidden="false" customHeight="true" outlineLevel="0" collapsed="false">
      <c r="J181" s="1" t="n">
        <f aca="false">DAY(A181)</f>
        <v>30</v>
      </c>
    </row>
    <row r="182" customFormat="false" ht="15" hidden="false" customHeight="true" outlineLevel="0" collapsed="false">
      <c r="J182" s="1" t="n">
        <f aca="false">DAY(A182)</f>
        <v>30</v>
      </c>
    </row>
    <row r="183" customFormat="false" ht="15" hidden="false" customHeight="true" outlineLevel="0" collapsed="false">
      <c r="J183" s="1" t="n">
        <f aca="false">DAY(A183)</f>
        <v>30</v>
      </c>
    </row>
    <row r="184" customFormat="false" ht="15" hidden="false" customHeight="true" outlineLevel="0" collapsed="false">
      <c r="J184" s="1" t="n">
        <f aca="false">DAY(A184)</f>
        <v>30</v>
      </c>
    </row>
    <row r="185" customFormat="false" ht="15" hidden="false" customHeight="true" outlineLevel="0" collapsed="false">
      <c r="J185" s="1" t="n">
        <f aca="false">DAY(A185)</f>
        <v>30</v>
      </c>
    </row>
    <row r="186" customFormat="false" ht="15" hidden="false" customHeight="true" outlineLevel="0" collapsed="false">
      <c r="J186" s="1" t="n">
        <f aca="false">DAY(A186)</f>
        <v>30</v>
      </c>
    </row>
    <row r="187" customFormat="false" ht="15" hidden="false" customHeight="true" outlineLevel="0" collapsed="false">
      <c r="J187" s="1" t="n">
        <f aca="false">DAY(A187)</f>
        <v>30</v>
      </c>
    </row>
    <row r="188" customFormat="false" ht="15" hidden="false" customHeight="true" outlineLevel="0" collapsed="false">
      <c r="J188" s="1" t="n">
        <f aca="false">DAY(A188)</f>
        <v>30</v>
      </c>
    </row>
    <row r="189" customFormat="false" ht="15" hidden="false" customHeight="true" outlineLevel="0" collapsed="false">
      <c r="J189" s="1" t="n">
        <f aca="false">DAY(A189)</f>
        <v>30</v>
      </c>
    </row>
    <row r="190" customFormat="false" ht="15" hidden="false" customHeight="true" outlineLevel="0" collapsed="false">
      <c r="J190" s="1" t="n">
        <f aca="false">DAY(A190)</f>
        <v>30</v>
      </c>
    </row>
    <row r="191" customFormat="false" ht="15" hidden="false" customHeight="true" outlineLevel="0" collapsed="false">
      <c r="J191" s="1" t="n">
        <f aca="false">DAY(A191)</f>
        <v>30</v>
      </c>
    </row>
    <row r="192" customFormat="false" ht="15" hidden="false" customHeight="true" outlineLevel="0" collapsed="false">
      <c r="J192" s="1" t="n">
        <f aca="false">DAY(A192)</f>
        <v>30</v>
      </c>
    </row>
    <row r="193" customFormat="false" ht="15" hidden="false" customHeight="true" outlineLevel="0" collapsed="false">
      <c r="J193" s="1" t="n">
        <f aca="false">DAY(A193)</f>
        <v>30</v>
      </c>
    </row>
    <row r="194" customFormat="false" ht="15" hidden="false" customHeight="true" outlineLevel="0" collapsed="false">
      <c r="J194" s="1" t="n">
        <f aca="false">DAY(A194)</f>
        <v>30</v>
      </c>
    </row>
    <row r="195" customFormat="false" ht="15" hidden="false" customHeight="true" outlineLevel="0" collapsed="false">
      <c r="J195" s="1" t="n">
        <f aca="false">DAY(A195)</f>
        <v>30</v>
      </c>
    </row>
    <row r="196" customFormat="false" ht="15" hidden="false" customHeight="true" outlineLevel="0" collapsed="false">
      <c r="J196" s="1" t="n">
        <f aca="false">DAY(A196)</f>
        <v>30</v>
      </c>
    </row>
    <row r="197" customFormat="false" ht="15" hidden="false" customHeight="true" outlineLevel="0" collapsed="false">
      <c r="J197" s="1" t="n">
        <f aca="false">DAY(A197)</f>
        <v>30</v>
      </c>
    </row>
    <row r="198" customFormat="false" ht="15" hidden="false" customHeight="true" outlineLevel="0" collapsed="false">
      <c r="J198" s="1" t="n">
        <f aca="false">DAY(A198)</f>
        <v>30</v>
      </c>
    </row>
    <row r="199" customFormat="false" ht="15" hidden="false" customHeight="true" outlineLevel="0" collapsed="false">
      <c r="J199" s="1" t="n">
        <f aca="false">DAY(A199)</f>
        <v>30</v>
      </c>
    </row>
    <row r="200" customFormat="false" ht="15" hidden="false" customHeight="true" outlineLevel="0" collapsed="false">
      <c r="J200" s="1" t="n">
        <f aca="false">DAY(A200)</f>
        <v>30</v>
      </c>
    </row>
    <row r="201" customFormat="false" ht="15" hidden="false" customHeight="true" outlineLevel="0" collapsed="false">
      <c r="J201" s="1" t="n">
        <f aca="false">DAY(A201)</f>
        <v>30</v>
      </c>
    </row>
    <row r="202" customFormat="false" ht="15" hidden="false" customHeight="true" outlineLevel="0" collapsed="false">
      <c r="J202" s="1" t="n">
        <f aca="false">DAY(A202)</f>
        <v>30</v>
      </c>
    </row>
    <row r="203" customFormat="false" ht="15" hidden="false" customHeight="true" outlineLevel="0" collapsed="false">
      <c r="J203" s="1" t="n">
        <f aca="false">DAY(A203)</f>
        <v>30</v>
      </c>
    </row>
    <row r="204" customFormat="false" ht="15" hidden="false" customHeight="true" outlineLevel="0" collapsed="false">
      <c r="J204" s="1" t="n">
        <f aca="false">DAY(A204)</f>
        <v>30</v>
      </c>
    </row>
    <row r="205" customFormat="false" ht="15" hidden="false" customHeight="true" outlineLevel="0" collapsed="false">
      <c r="J205" s="1" t="n">
        <f aca="false">DAY(A205)</f>
        <v>30</v>
      </c>
    </row>
    <row r="206" customFormat="false" ht="15" hidden="false" customHeight="true" outlineLevel="0" collapsed="false">
      <c r="J206" s="1" t="n">
        <f aca="false">DAY(A206)</f>
        <v>30</v>
      </c>
    </row>
    <row r="207" customFormat="false" ht="15" hidden="false" customHeight="true" outlineLevel="0" collapsed="false">
      <c r="J207" s="1" t="n">
        <f aca="false">DAY(A207)</f>
        <v>30</v>
      </c>
    </row>
    <row r="208" customFormat="false" ht="15" hidden="false" customHeight="true" outlineLevel="0" collapsed="false">
      <c r="J208" s="1" t="n">
        <f aca="false">DAY(A208)</f>
        <v>30</v>
      </c>
    </row>
    <row r="209" customFormat="false" ht="15" hidden="false" customHeight="true" outlineLevel="0" collapsed="false">
      <c r="J209" s="1" t="n">
        <f aca="false">DAY(A209)</f>
        <v>30</v>
      </c>
    </row>
    <row r="210" customFormat="false" ht="15" hidden="false" customHeight="true" outlineLevel="0" collapsed="false">
      <c r="J210" s="1" t="n">
        <f aca="false">DAY(A210)</f>
        <v>30</v>
      </c>
    </row>
    <row r="211" customFormat="false" ht="15" hidden="false" customHeight="true" outlineLevel="0" collapsed="false">
      <c r="J211" s="1" t="n">
        <f aca="false">DAY(A211)</f>
        <v>30</v>
      </c>
    </row>
    <row r="212" customFormat="false" ht="15" hidden="false" customHeight="true" outlineLevel="0" collapsed="false">
      <c r="J212" s="1" t="n">
        <f aca="false">DAY(A212)</f>
        <v>30</v>
      </c>
    </row>
    <row r="213" customFormat="false" ht="15" hidden="false" customHeight="true" outlineLevel="0" collapsed="false">
      <c r="J213" s="1" t="n">
        <f aca="false">DAY(A213)</f>
        <v>30</v>
      </c>
    </row>
    <row r="214" customFormat="false" ht="15" hidden="false" customHeight="true" outlineLevel="0" collapsed="false">
      <c r="J214" s="1" t="n">
        <f aca="false">DAY(A214)</f>
        <v>30</v>
      </c>
    </row>
    <row r="215" customFormat="false" ht="15" hidden="false" customHeight="true" outlineLevel="0" collapsed="false">
      <c r="J215" s="1" t="n">
        <f aca="false">DAY(A215)</f>
        <v>30</v>
      </c>
    </row>
    <row r="216" customFormat="false" ht="15" hidden="false" customHeight="true" outlineLevel="0" collapsed="false">
      <c r="J216" s="1" t="n">
        <f aca="false">DAY(A216)</f>
        <v>30</v>
      </c>
    </row>
    <row r="217" customFormat="false" ht="15" hidden="false" customHeight="true" outlineLevel="0" collapsed="false">
      <c r="J217" s="1" t="n">
        <f aca="false">DAY(A217)</f>
        <v>30</v>
      </c>
    </row>
    <row r="218" customFormat="false" ht="15" hidden="false" customHeight="true" outlineLevel="0" collapsed="false">
      <c r="J218" s="1" t="n">
        <f aca="false">DAY(A218)</f>
        <v>30</v>
      </c>
    </row>
    <row r="219" customFormat="false" ht="15" hidden="false" customHeight="true" outlineLevel="0" collapsed="false">
      <c r="J219" s="1" t="n">
        <f aca="false">DAY(A219)</f>
        <v>30</v>
      </c>
    </row>
    <row r="220" customFormat="false" ht="15" hidden="false" customHeight="true" outlineLevel="0" collapsed="false">
      <c r="J220" s="1" t="n">
        <f aca="false">DAY(A220)</f>
        <v>30</v>
      </c>
    </row>
    <row r="221" customFormat="false" ht="15" hidden="false" customHeight="true" outlineLevel="0" collapsed="false">
      <c r="J221" s="1" t="n">
        <f aca="false">DAY(A221)</f>
        <v>30</v>
      </c>
    </row>
    <row r="222" customFormat="false" ht="15" hidden="false" customHeight="true" outlineLevel="0" collapsed="false">
      <c r="J222" s="1" t="n">
        <f aca="false">DAY(A222)</f>
        <v>30</v>
      </c>
    </row>
    <row r="223" customFormat="false" ht="15" hidden="false" customHeight="true" outlineLevel="0" collapsed="false">
      <c r="J223" s="1" t="n">
        <f aca="false">DAY(A223)</f>
        <v>30</v>
      </c>
    </row>
    <row r="224" customFormat="false" ht="15" hidden="false" customHeight="true" outlineLevel="0" collapsed="false">
      <c r="J224" s="1" t="n">
        <f aca="false">DAY(A224)</f>
        <v>30</v>
      </c>
    </row>
    <row r="225" customFormat="false" ht="15" hidden="false" customHeight="true" outlineLevel="0" collapsed="false">
      <c r="J225" s="1" t="n">
        <f aca="false">DAY(A225)</f>
        <v>30</v>
      </c>
    </row>
    <row r="226" customFormat="false" ht="15" hidden="false" customHeight="true" outlineLevel="0" collapsed="false">
      <c r="J226" s="1" t="n">
        <f aca="false">DAY(A226)</f>
        <v>30</v>
      </c>
    </row>
    <row r="227" customFormat="false" ht="15" hidden="false" customHeight="true" outlineLevel="0" collapsed="false">
      <c r="J227" s="1" t="n">
        <f aca="false">DAY(A227)</f>
        <v>30</v>
      </c>
    </row>
    <row r="228" customFormat="false" ht="15" hidden="false" customHeight="true" outlineLevel="0" collapsed="false">
      <c r="J228" s="1" t="n">
        <f aca="false">DAY(A228)</f>
        <v>30</v>
      </c>
    </row>
    <row r="229" customFormat="false" ht="15" hidden="false" customHeight="true" outlineLevel="0" collapsed="false">
      <c r="J229" s="1" t="n">
        <f aca="false">DAY(A229)</f>
        <v>30</v>
      </c>
    </row>
    <row r="230" customFormat="false" ht="15" hidden="false" customHeight="true" outlineLevel="0" collapsed="false">
      <c r="J230" s="1" t="n">
        <f aca="false">DAY(A230)</f>
        <v>30</v>
      </c>
    </row>
    <row r="231" customFormat="false" ht="15" hidden="false" customHeight="true" outlineLevel="0" collapsed="false">
      <c r="J231" s="1" t="n">
        <f aca="false">DAY(A231)</f>
        <v>30</v>
      </c>
    </row>
    <row r="232" customFormat="false" ht="15" hidden="false" customHeight="true" outlineLevel="0" collapsed="false">
      <c r="J232" s="1" t="n">
        <f aca="false">DAY(A232)</f>
        <v>30</v>
      </c>
    </row>
    <row r="233" customFormat="false" ht="15" hidden="false" customHeight="true" outlineLevel="0" collapsed="false">
      <c r="J233" s="1" t="n">
        <f aca="false">DAY(A233)</f>
        <v>30</v>
      </c>
    </row>
    <row r="234" customFormat="false" ht="15" hidden="false" customHeight="true" outlineLevel="0" collapsed="false">
      <c r="J234" s="1" t="n">
        <f aca="false">DAY(A234)</f>
        <v>30</v>
      </c>
    </row>
    <row r="235" customFormat="false" ht="15" hidden="false" customHeight="true" outlineLevel="0" collapsed="false">
      <c r="J235" s="1" t="n">
        <f aca="false">DAY(A235)</f>
        <v>30</v>
      </c>
    </row>
    <row r="236" customFormat="false" ht="15" hidden="false" customHeight="true" outlineLevel="0" collapsed="false">
      <c r="J236" s="1" t="n">
        <f aca="false">DAY(A236)</f>
        <v>30</v>
      </c>
    </row>
    <row r="237" customFormat="false" ht="15" hidden="false" customHeight="true" outlineLevel="0" collapsed="false">
      <c r="J237" s="1" t="n">
        <f aca="false">DAY(A237)</f>
        <v>30</v>
      </c>
    </row>
    <row r="238" customFormat="false" ht="15" hidden="false" customHeight="true" outlineLevel="0" collapsed="false">
      <c r="J238" s="1" t="n">
        <f aca="false">DAY(A238)</f>
        <v>30</v>
      </c>
    </row>
    <row r="239" customFormat="false" ht="15" hidden="false" customHeight="true" outlineLevel="0" collapsed="false">
      <c r="J239" s="1" t="n">
        <f aca="false">DAY(A239)</f>
        <v>30</v>
      </c>
    </row>
    <row r="240" customFormat="false" ht="15" hidden="false" customHeight="true" outlineLevel="0" collapsed="false">
      <c r="J240" s="1" t="n">
        <f aca="false">DAY(A240)</f>
        <v>30</v>
      </c>
    </row>
    <row r="241" customFormat="false" ht="15" hidden="false" customHeight="true" outlineLevel="0" collapsed="false">
      <c r="J241" s="1" t="n">
        <f aca="false">DAY(A241)</f>
        <v>30</v>
      </c>
    </row>
    <row r="242" customFormat="false" ht="15" hidden="false" customHeight="true" outlineLevel="0" collapsed="false">
      <c r="J242" s="1" t="n">
        <f aca="false">DAY(A242)</f>
        <v>30</v>
      </c>
    </row>
    <row r="243" customFormat="false" ht="15" hidden="false" customHeight="true" outlineLevel="0" collapsed="false">
      <c r="J243" s="1" t="n">
        <f aca="false">DAY(A243)</f>
        <v>30</v>
      </c>
    </row>
    <row r="244" customFormat="false" ht="15" hidden="false" customHeight="true" outlineLevel="0" collapsed="false">
      <c r="J244" s="1" t="n">
        <f aca="false">DAY(A244)</f>
        <v>30</v>
      </c>
    </row>
    <row r="245" customFormat="false" ht="15" hidden="false" customHeight="true" outlineLevel="0" collapsed="false">
      <c r="J245" s="1" t="n">
        <f aca="false">DAY(A245)</f>
        <v>30</v>
      </c>
    </row>
    <row r="246" customFormat="false" ht="15" hidden="false" customHeight="true" outlineLevel="0" collapsed="false">
      <c r="J246" s="1" t="n">
        <f aca="false">DAY(A246)</f>
        <v>30</v>
      </c>
    </row>
    <row r="247" customFormat="false" ht="15" hidden="false" customHeight="true" outlineLevel="0" collapsed="false">
      <c r="J247" s="1" t="n">
        <f aca="false">DAY(A247)</f>
        <v>30</v>
      </c>
    </row>
    <row r="248" customFormat="false" ht="15" hidden="false" customHeight="true" outlineLevel="0" collapsed="false">
      <c r="J248" s="1" t="n">
        <f aca="false">DAY(A248)</f>
        <v>30</v>
      </c>
    </row>
    <row r="249" customFormat="false" ht="15" hidden="false" customHeight="true" outlineLevel="0" collapsed="false">
      <c r="J249" s="1" t="n">
        <f aca="false">DAY(A249)</f>
        <v>30</v>
      </c>
    </row>
    <row r="250" customFormat="false" ht="15" hidden="false" customHeight="true" outlineLevel="0" collapsed="false">
      <c r="J250" s="1" t="n">
        <f aca="false">DAY(A250)</f>
        <v>30</v>
      </c>
    </row>
    <row r="251" customFormat="false" ht="15" hidden="false" customHeight="true" outlineLevel="0" collapsed="false">
      <c r="J251" s="1" t="n">
        <f aca="false">DAY(A251)</f>
        <v>30</v>
      </c>
    </row>
    <row r="252" customFormat="false" ht="15" hidden="false" customHeight="true" outlineLevel="0" collapsed="false">
      <c r="J252" s="1" t="n">
        <f aca="false">DAY(A252)</f>
        <v>30</v>
      </c>
    </row>
    <row r="253" customFormat="false" ht="15" hidden="false" customHeight="true" outlineLevel="0" collapsed="false">
      <c r="J253" s="1" t="n">
        <f aca="false">DAY(A253)</f>
        <v>30</v>
      </c>
    </row>
    <row r="254" customFormat="false" ht="15" hidden="false" customHeight="true" outlineLevel="0" collapsed="false">
      <c r="J254" s="1" t="n">
        <f aca="false">DAY(A254)</f>
        <v>30</v>
      </c>
    </row>
    <row r="255" customFormat="false" ht="15" hidden="false" customHeight="true" outlineLevel="0" collapsed="false">
      <c r="J255" s="1" t="n">
        <f aca="false">DAY(A255)</f>
        <v>30</v>
      </c>
    </row>
    <row r="256" customFormat="false" ht="15" hidden="false" customHeight="true" outlineLevel="0" collapsed="false">
      <c r="J256" s="1" t="n">
        <f aca="false">DAY(A256)</f>
        <v>30</v>
      </c>
    </row>
    <row r="257" customFormat="false" ht="15" hidden="false" customHeight="true" outlineLevel="0" collapsed="false">
      <c r="J257" s="1" t="n">
        <f aca="false">DAY(A257)</f>
        <v>30</v>
      </c>
    </row>
    <row r="258" customFormat="false" ht="15" hidden="false" customHeight="true" outlineLevel="0" collapsed="false">
      <c r="J258" s="1" t="n">
        <f aca="false">DAY(A258)</f>
        <v>30</v>
      </c>
    </row>
    <row r="259" customFormat="false" ht="15" hidden="false" customHeight="true" outlineLevel="0" collapsed="false">
      <c r="J259" s="1" t="n">
        <f aca="false">DAY(A259)</f>
        <v>30</v>
      </c>
    </row>
    <row r="260" customFormat="false" ht="15" hidden="false" customHeight="true" outlineLevel="0" collapsed="false">
      <c r="J260" s="1" t="n">
        <f aca="false">DAY(A260)</f>
        <v>30</v>
      </c>
    </row>
    <row r="261" customFormat="false" ht="15" hidden="false" customHeight="true" outlineLevel="0" collapsed="false">
      <c r="J261" s="1" t="n">
        <f aca="false">DAY(A261)</f>
        <v>30</v>
      </c>
    </row>
    <row r="262" customFormat="false" ht="15" hidden="false" customHeight="true" outlineLevel="0" collapsed="false">
      <c r="J262" s="1" t="n">
        <f aca="false">DAY(A262)</f>
        <v>30</v>
      </c>
    </row>
    <row r="263" customFormat="false" ht="15" hidden="false" customHeight="true" outlineLevel="0" collapsed="false">
      <c r="J263" s="1" t="n">
        <f aca="false">DAY(A263)</f>
        <v>30</v>
      </c>
    </row>
    <row r="264" customFormat="false" ht="15" hidden="false" customHeight="true" outlineLevel="0" collapsed="false">
      <c r="J264" s="1" t="n">
        <f aca="false">DAY(A264)</f>
        <v>30</v>
      </c>
    </row>
    <row r="265" customFormat="false" ht="15" hidden="false" customHeight="true" outlineLevel="0" collapsed="false">
      <c r="J265" s="1" t="n">
        <f aca="false">DAY(A265)</f>
        <v>30</v>
      </c>
    </row>
    <row r="266" customFormat="false" ht="15" hidden="false" customHeight="true" outlineLevel="0" collapsed="false">
      <c r="J266" s="1" t="n">
        <f aca="false">DAY(A266)</f>
        <v>30</v>
      </c>
    </row>
    <row r="267" customFormat="false" ht="15" hidden="false" customHeight="true" outlineLevel="0" collapsed="false">
      <c r="J267" s="1" t="n">
        <f aca="false">DAY(A267)</f>
        <v>30</v>
      </c>
    </row>
    <row r="268" customFormat="false" ht="15" hidden="false" customHeight="true" outlineLevel="0" collapsed="false">
      <c r="J268" s="1" t="n">
        <f aca="false">DAY(A268)</f>
        <v>30</v>
      </c>
    </row>
    <row r="269" customFormat="false" ht="15" hidden="false" customHeight="true" outlineLevel="0" collapsed="false">
      <c r="J269" s="1" t="n">
        <f aca="false">DAY(A269)</f>
        <v>30</v>
      </c>
    </row>
    <row r="270" customFormat="false" ht="15" hidden="false" customHeight="true" outlineLevel="0" collapsed="false">
      <c r="J270" s="1" t="n">
        <f aca="false">DAY(A270)</f>
        <v>30</v>
      </c>
    </row>
    <row r="271" customFormat="false" ht="15" hidden="false" customHeight="true" outlineLevel="0" collapsed="false">
      <c r="J271" s="1" t="n">
        <f aca="false">DAY(A271)</f>
        <v>30</v>
      </c>
    </row>
    <row r="272" customFormat="false" ht="15" hidden="false" customHeight="true" outlineLevel="0" collapsed="false">
      <c r="J272" s="1" t="n">
        <f aca="false">DAY(A272)</f>
        <v>30</v>
      </c>
    </row>
    <row r="273" customFormat="false" ht="15" hidden="false" customHeight="true" outlineLevel="0" collapsed="false">
      <c r="J273" s="1" t="n">
        <f aca="false">DAY(A273)</f>
        <v>30</v>
      </c>
    </row>
    <row r="274" customFormat="false" ht="15" hidden="false" customHeight="true" outlineLevel="0" collapsed="false">
      <c r="J274" s="1" t="n">
        <f aca="false">DAY(A274)</f>
        <v>30</v>
      </c>
    </row>
    <row r="275" customFormat="false" ht="15" hidden="false" customHeight="true" outlineLevel="0" collapsed="false">
      <c r="J275" s="1" t="n">
        <f aca="false">DAY(A275)</f>
        <v>30</v>
      </c>
    </row>
    <row r="276" customFormat="false" ht="15" hidden="false" customHeight="true" outlineLevel="0" collapsed="false">
      <c r="J276" s="1" t="n">
        <f aca="false">DAY(A276)</f>
        <v>30</v>
      </c>
    </row>
    <row r="277" customFormat="false" ht="15" hidden="false" customHeight="true" outlineLevel="0" collapsed="false">
      <c r="J277" s="1" t="n">
        <f aca="false">DAY(A277)</f>
        <v>30</v>
      </c>
    </row>
    <row r="278" customFormat="false" ht="15" hidden="false" customHeight="true" outlineLevel="0" collapsed="false">
      <c r="J278" s="1" t="n">
        <f aca="false">DAY(A278)</f>
        <v>30</v>
      </c>
    </row>
    <row r="279" customFormat="false" ht="15" hidden="false" customHeight="true" outlineLevel="0" collapsed="false">
      <c r="J279" s="1" t="n">
        <f aca="false">DAY(A279)</f>
        <v>30</v>
      </c>
    </row>
    <row r="280" customFormat="false" ht="15" hidden="false" customHeight="true" outlineLevel="0" collapsed="false">
      <c r="J280" s="1" t="n">
        <f aca="false">DAY(A280)</f>
        <v>30</v>
      </c>
    </row>
    <row r="281" customFormat="false" ht="15" hidden="false" customHeight="true" outlineLevel="0" collapsed="false">
      <c r="J281" s="1" t="n">
        <f aca="false">DAY(A281)</f>
        <v>30</v>
      </c>
    </row>
    <row r="282" customFormat="false" ht="15" hidden="false" customHeight="true" outlineLevel="0" collapsed="false">
      <c r="J282" s="1" t="n">
        <f aca="false">DAY(A282)</f>
        <v>30</v>
      </c>
    </row>
    <row r="283" customFormat="false" ht="15" hidden="false" customHeight="true" outlineLevel="0" collapsed="false">
      <c r="J283" s="1" t="n">
        <f aca="false">DAY(A283)</f>
        <v>30</v>
      </c>
    </row>
    <row r="284" customFormat="false" ht="15" hidden="false" customHeight="true" outlineLevel="0" collapsed="false">
      <c r="J284" s="1" t="n">
        <f aca="false">DAY(A284)</f>
        <v>30</v>
      </c>
    </row>
    <row r="285" customFormat="false" ht="15" hidden="false" customHeight="true" outlineLevel="0" collapsed="false">
      <c r="J285" s="1" t="n">
        <f aca="false">DAY(A285)</f>
        <v>30</v>
      </c>
    </row>
    <row r="286" customFormat="false" ht="15" hidden="false" customHeight="true" outlineLevel="0" collapsed="false">
      <c r="J286" s="1" t="n">
        <f aca="false">DAY(A286)</f>
        <v>30</v>
      </c>
    </row>
    <row r="287" customFormat="false" ht="15" hidden="false" customHeight="true" outlineLevel="0" collapsed="false">
      <c r="J287" s="1" t="n">
        <f aca="false">DAY(A287)</f>
        <v>30</v>
      </c>
    </row>
    <row r="288" customFormat="false" ht="15" hidden="false" customHeight="true" outlineLevel="0" collapsed="false">
      <c r="J288" s="1" t="n">
        <f aca="false">DAY(A288)</f>
        <v>30</v>
      </c>
    </row>
    <row r="289" customFormat="false" ht="15" hidden="false" customHeight="true" outlineLevel="0" collapsed="false">
      <c r="J289" s="1" t="n">
        <f aca="false">DAY(A289)</f>
        <v>30</v>
      </c>
    </row>
    <row r="290" customFormat="false" ht="15" hidden="false" customHeight="true" outlineLevel="0" collapsed="false">
      <c r="J290" s="1" t="n">
        <f aca="false">DAY(A290)</f>
        <v>30</v>
      </c>
    </row>
    <row r="291" customFormat="false" ht="15" hidden="false" customHeight="true" outlineLevel="0" collapsed="false">
      <c r="J291" s="1" t="n">
        <f aca="false">DAY(A291)</f>
        <v>30</v>
      </c>
    </row>
    <row r="292" customFormat="false" ht="15" hidden="false" customHeight="true" outlineLevel="0" collapsed="false">
      <c r="J292" s="1" t="n">
        <f aca="false">DAY(A292)</f>
        <v>30</v>
      </c>
    </row>
    <row r="293" customFormat="false" ht="15" hidden="false" customHeight="true" outlineLevel="0" collapsed="false">
      <c r="J293" s="1" t="n">
        <f aca="false">DAY(A293)</f>
        <v>30</v>
      </c>
    </row>
    <row r="294" customFormat="false" ht="15" hidden="false" customHeight="true" outlineLevel="0" collapsed="false">
      <c r="J294" s="1" t="n">
        <f aca="false">DAY(A294)</f>
        <v>30</v>
      </c>
    </row>
    <row r="295" customFormat="false" ht="15" hidden="false" customHeight="true" outlineLevel="0" collapsed="false">
      <c r="J295" s="1" t="n">
        <f aca="false">DAY(A295)</f>
        <v>30</v>
      </c>
    </row>
    <row r="296" customFormat="false" ht="15" hidden="false" customHeight="true" outlineLevel="0" collapsed="false">
      <c r="J296" s="1" t="n">
        <f aca="false">DAY(A296)</f>
        <v>30</v>
      </c>
    </row>
    <row r="297" customFormat="false" ht="15" hidden="false" customHeight="true" outlineLevel="0" collapsed="false">
      <c r="J297" s="1" t="n">
        <f aca="false">DAY(A297)</f>
        <v>30</v>
      </c>
    </row>
    <row r="298" customFormat="false" ht="15" hidden="false" customHeight="true" outlineLevel="0" collapsed="false">
      <c r="J298" s="1" t="n">
        <f aca="false">DAY(A298)</f>
        <v>30</v>
      </c>
    </row>
    <row r="299" customFormat="false" ht="15" hidden="false" customHeight="true" outlineLevel="0" collapsed="false">
      <c r="J299" s="1" t="n">
        <f aca="false">DAY(A299)</f>
        <v>30</v>
      </c>
    </row>
    <row r="300" customFormat="false" ht="15" hidden="false" customHeight="true" outlineLevel="0" collapsed="false">
      <c r="J300" s="1" t="n">
        <f aca="false">DAY(A300)</f>
        <v>30</v>
      </c>
    </row>
    <row r="301" customFormat="false" ht="15" hidden="false" customHeight="true" outlineLevel="0" collapsed="false">
      <c r="J301" s="1" t="n">
        <f aca="false">DAY(A301)</f>
        <v>30</v>
      </c>
    </row>
    <row r="302" customFormat="false" ht="15" hidden="false" customHeight="true" outlineLevel="0" collapsed="false">
      <c r="J302" s="1" t="n">
        <f aca="false">DAY(A302)</f>
        <v>30</v>
      </c>
    </row>
    <row r="303" customFormat="false" ht="15" hidden="false" customHeight="true" outlineLevel="0" collapsed="false">
      <c r="J303" s="1" t="n">
        <f aca="false">DAY(A303)</f>
        <v>30</v>
      </c>
    </row>
    <row r="304" customFormat="false" ht="15" hidden="false" customHeight="true" outlineLevel="0" collapsed="false">
      <c r="J304" s="1" t="n">
        <f aca="false">DAY(A304)</f>
        <v>30</v>
      </c>
    </row>
    <row r="305" customFormat="false" ht="15" hidden="false" customHeight="true" outlineLevel="0" collapsed="false">
      <c r="J305" s="1" t="n">
        <f aca="false">DAY(A305)</f>
        <v>30</v>
      </c>
    </row>
    <row r="306" customFormat="false" ht="15" hidden="false" customHeight="true" outlineLevel="0" collapsed="false">
      <c r="J306" s="1" t="n">
        <f aca="false">DAY(A306)</f>
        <v>30</v>
      </c>
    </row>
    <row r="307" customFormat="false" ht="15" hidden="false" customHeight="true" outlineLevel="0" collapsed="false">
      <c r="J307" s="1" t="n">
        <f aca="false">DAY(A307)</f>
        <v>30</v>
      </c>
    </row>
    <row r="308" customFormat="false" ht="15" hidden="false" customHeight="true" outlineLevel="0" collapsed="false">
      <c r="J308" s="1" t="n">
        <f aca="false">DAY(A308)</f>
        <v>30</v>
      </c>
    </row>
    <row r="309" customFormat="false" ht="15" hidden="false" customHeight="true" outlineLevel="0" collapsed="false">
      <c r="J309" s="1" t="n">
        <f aca="false">DAY(A309)</f>
        <v>30</v>
      </c>
    </row>
    <row r="310" customFormat="false" ht="15" hidden="false" customHeight="true" outlineLevel="0" collapsed="false">
      <c r="J310" s="1" t="n">
        <f aca="false">DAY(A310)</f>
        <v>30</v>
      </c>
    </row>
    <row r="311" customFormat="false" ht="15" hidden="false" customHeight="true" outlineLevel="0" collapsed="false">
      <c r="J311" s="1" t="n">
        <f aca="false">DAY(A311)</f>
        <v>30</v>
      </c>
    </row>
    <row r="312" customFormat="false" ht="15" hidden="false" customHeight="true" outlineLevel="0" collapsed="false">
      <c r="J312" s="1" t="n">
        <f aca="false">DAY(A312)</f>
        <v>30</v>
      </c>
    </row>
    <row r="313" customFormat="false" ht="15" hidden="false" customHeight="true" outlineLevel="0" collapsed="false">
      <c r="J313" s="1" t="n">
        <f aca="false">DAY(A313)</f>
        <v>30</v>
      </c>
    </row>
    <row r="314" customFormat="false" ht="15" hidden="false" customHeight="true" outlineLevel="0" collapsed="false">
      <c r="J314" s="1" t="n">
        <f aca="false">DAY(A314)</f>
        <v>30</v>
      </c>
    </row>
    <row r="315" customFormat="false" ht="15" hidden="false" customHeight="true" outlineLevel="0" collapsed="false">
      <c r="J315" s="1" t="n">
        <f aca="false">DAY(A315)</f>
        <v>30</v>
      </c>
    </row>
    <row r="316" customFormat="false" ht="15" hidden="false" customHeight="true" outlineLevel="0" collapsed="false">
      <c r="J316" s="1" t="n">
        <f aca="false">DAY(A316)</f>
        <v>30</v>
      </c>
    </row>
    <row r="317" customFormat="false" ht="15" hidden="false" customHeight="true" outlineLevel="0" collapsed="false">
      <c r="J317" s="1" t="n">
        <f aca="false">DAY(A317)</f>
        <v>30</v>
      </c>
    </row>
    <row r="318" customFormat="false" ht="15" hidden="false" customHeight="true" outlineLevel="0" collapsed="false">
      <c r="J318" s="1" t="n">
        <f aca="false">DAY(A318)</f>
        <v>30</v>
      </c>
    </row>
    <row r="319" customFormat="false" ht="15" hidden="false" customHeight="true" outlineLevel="0" collapsed="false">
      <c r="J319" s="1" t="n">
        <f aca="false">DAY(A319)</f>
        <v>30</v>
      </c>
    </row>
    <row r="320" customFormat="false" ht="15" hidden="false" customHeight="true" outlineLevel="0" collapsed="false">
      <c r="J320" s="1" t="n">
        <f aca="false">DAY(A320)</f>
        <v>30</v>
      </c>
    </row>
    <row r="321" customFormat="false" ht="15" hidden="false" customHeight="true" outlineLevel="0" collapsed="false">
      <c r="J321" s="1" t="n">
        <f aca="false">DAY(A321)</f>
        <v>30</v>
      </c>
    </row>
    <row r="322" customFormat="false" ht="15" hidden="false" customHeight="true" outlineLevel="0" collapsed="false">
      <c r="J322" s="1" t="n">
        <f aca="false">DAY(A322)</f>
        <v>30</v>
      </c>
    </row>
    <row r="323" customFormat="false" ht="15" hidden="false" customHeight="true" outlineLevel="0" collapsed="false">
      <c r="J323" s="1" t="n">
        <f aca="false">DAY(A323)</f>
        <v>30</v>
      </c>
    </row>
    <row r="324" customFormat="false" ht="15" hidden="false" customHeight="true" outlineLevel="0" collapsed="false">
      <c r="J324" s="1" t="n">
        <f aca="false">DAY(A324)</f>
        <v>30</v>
      </c>
    </row>
    <row r="325" customFormat="false" ht="15" hidden="false" customHeight="true" outlineLevel="0" collapsed="false">
      <c r="J325" s="1" t="n">
        <f aca="false">DAY(A325)</f>
        <v>30</v>
      </c>
    </row>
    <row r="326" customFormat="false" ht="15" hidden="false" customHeight="true" outlineLevel="0" collapsed="false">
      <c r="J326" s="1" t="n">
        <f aca="false">DAY(A326)</f>
        <v>30</v>
      </c>
    </row>
    <row r="327" customFormat="false" ht="15" hidden="false" customHeight="true" outlineLevel="0" collapsed="false">
      <c r="J327" s="1" t="n">
        <f aca="false">DAY(A327)</f>
        <v>30</v>
      </c>
    </row>
    <row r="328" customFormat="false" ht="15" hidden="false" customHeight="true" outlineLevel="0" collapsed="false">
      <c r="J328" s="1" t="n">
        <f aca="false">DAY(A328)</f>
        <v>30</v>
      </c>
    </row>
    <row r="329" customFormat="false" ht="15" hidden="false" customHeight="true" outlineLevel="0" collapsed="false">
      <c r="J329" s="1" t="n">
        <f aca="false">DAY(A329)</f>
        <v>30</v>
      </c>
    </row>
    <row r="330" customFormat="false" ht="15" hidden="false" customHeight="true" outlineLevel="0" collapsed="false">
      <c r="J330" s="1" t="n">
        <f aca="false">DAY(A330)</f>
        <v>30</v>
      </c>
    </row>
    <row r="331" customFormat="false" ht="15" hidden="false" customHeight="true" outlineLevel="0" collapsed="false">
      <c r="J331" s="1" t="n">
        <f aca="false">DAY(A331)</f>
        <v>30</v>
      </c>
    </row>
    <row r="332" customFormat="false" ht="15" hidden="false" customHeight="true" outlineLevel="0" collapsed="false">
      <c r="J332" s="1" t="n">
        <f aca="false">DAY(A332)</f>
        <v>30</v>
      </c>
    </row>
    <row r="333" customFormat="false" ht="15" hidden="false" customHeight="true" outlineLevel="0" collapsed="false">
      <c r="J333" s="1" t="n">
        <f aca="false">DAY(A333)</f>
        <v>30</v>
      </c>
    </row>
    <row r="334" customFormat="false" ht="15" hidden="false" customHeight="true" outlineLevel="0" collapsed="false">
      <c r="J334" s="1" t="n">
        <f aca="false">DAY(A334)</f>
        <v>30</v>
      </c>
    </row>
    <row r="335" customFormat="false" ht="15" hidden="false" customHeight="true" outlineLevel="0" collapsed="false">
      <c r="J335" s="1" t="n">
        <f aca="false">DAY(A335)</f>
        <v>30</v>
      </c>
    </row>
    <row r="336" customFormat="false" ht="15" hidden="false" customHeight="true" outlineLevel="0" collapsed="false">
      <c r="J336" s="1" t="n">
        <f aca="false">DAY(A336)</f>
        <v>30</v>
      </c>
    </row>
    <row r="337" customFormat="false" ht="15" hidden="false" customHeight="true" outlineLevel="0" collapsed="false">
      <c r="J337" s="1" t="n">
        <f aca="false">DAY(A337)</f>
        <v>30</v>
      </c>
    </row>
    <row r="338" customFormat="false" ht="15" hidden="false" customHeight="true" outlineLevel="0" collapsed="false">
      <c r="J338" s="1" t="n">
        <f aca="false">DAY(A338)</f>
        <v>30</v>
      </c>
    </row>
    <row r="339" customFormat="false" ht="15" hidden="false" customHeight="true" outlineLevel="0" collapsed="false">
      <c r="J339" s="1" t="n">
        <f aca="false">DAY(A339)</f>
        <v>30</v>
      </c>
    </row>
    <row r="340" customFormat="false" ht="15" hidden="false" customHeight="true" outlineLevel="0" collapsed="false">
      <c r="J340" s="1" t="n">
        <f aca="false">DAY(A340)</f>
        <v>30</v>
      </c>
    </row>
    <row r="341" customFormat="false" ht="15" hidden="false" customHeight="true" outlineLevel="0" collapsed="false">
      <c r="J341" s="1" t="n">
        <f aca="false">DAY(A341)</f>
        <v>30</v>
      </c>
    </row>
    <row r="342" customFormat="false" ht="15" hidden="false" customHeight="true" outlineLevel="0" collapsed="false">
      <c r="J342" s="1" t="n">
        <f aca="false">DAY(A342)</f>
        <v>30</v>
      </c>
    </row>
    <row r="343" customFormat="false" ht="15" hidden="false" customHeight="true" outlineLevel="0" collapsed="false">
      <c r="J343" s="1" t="n">
        <f aca="false">DAY(A343)</f>
        <v>30</v>
      </c>
    </row>
    <row r="344" customFormat="false" ht="15" hidden="false" customHeight="true" outlineLevel="0" collapsed="false">
      <c r="J344" s="1" t="n">
        <f aca="false">DAY(A344)</f>
        <v>30</v>
      </c>
    </row>
    <row r="345" customFormat="false" ht="15" hidden="false" customHeight="true" outlineLevel="0" collapsed="false">
      <c r="J345" s="1" t="n">
        <f aca="false">DAY(A345)</f>
        <v>30</v>
      </c>
    </row>
    <row r="346" customFormat="false" ht="15" hidden="false" customHeight="true" outlineLevel="0" collapsed="false">
      <c r="J346" s="1" t="n">
        <f aca="false">DAY(A346)</f>
        <v>30</v>
      </c>
    </row>
    <row r="347" customFormat="false" ht="15" hidden="false" customHeight="true" outlineLevel="0" collapsed="false">
      <c r="J347" s="1" t="n">
        <f aca="false">DAY(A347)</f>
        <v>30</v>
      </c>
    </row>
    <row r="348" customFormat="false" ht="15" hidden="false" customHeight="true" outlineLevel="0" collapsed="false">
      <c r="J348" s="1" t="n">
        <f aca="false">DAY(A348)</f>
        <v>30</v>
      </c>
    </row>
    <row r="349" customFormat="false" ht="15" hidden="false" customHeight="true" outlineLevel="0" collapsed="false">
      <c r="J349" s="1" t="n">
        <f aca="false">DAY(A349)</f>
        <v>30</v>
      </c>
    </row>
    <row r="350" customFormat="false" ht="15" hidden="false" customHeight="true" outlineLevel="0" collapsed="false">
      <c r="J350" s="1" t="n">
        <f aca="false">DAY(A350)</f>
        <v>30</v>
      </c>
    </row>
    <row r="351" customFormat="false" ht="15" hidden="false" customHeight="true" outlineLevel="0" collapsed="false">
      <c r="J351" s="1" t="n">
        <f aca="false">DAY(A351)</f>
        <v>30</v>
      </c>
    </row>
    <row r="352" customFormat="false" ht="15" hidden="false" customHeight="true" outlineLevel="0" collapsed="false">
      <c r="J352" s="1" t="n">
        <f aca="false">DAY(A352)</f>
        <v>30</v>
      </c>
    </row>
    <row r="353" customFormat="false" ht="15" hidden="false" customHeight="true" outlineLevel="0" collapsed="false">
      <c r="J353" s="1" t="n">
        <f aca="false">DAY(A353)</f>
        <v>30</v>
      </c>
    </row>
    <row r="354" customFormat="false" ht="15" hidden="false" customHeight="true" outlineLevel="0" collapsed="false">
      <c r="J354" s="1" t="n">
        <f aca="false">DAY(A354)</f>
        <v>30</v>
      </c>
    </row>
    <row r="355" customFormat="false" ht="15" hidden="false" customHeight="true" outlineLevel="0" collapsed="false">
      <c r="J355" s="1" t="n">
        <f aca="false">DAY(A355)</f>
        <v>30</v>
      </c>
    </row>
    <row r="356" customFormat="false" ht="15" hidden="false" customHeight="true" outlineLevel="0" collapsed="false">
      <c r="J356" s="1" t="n">
        <f aca="false">DAY(A356)</f>
        <v>30</v>
      </c>
    </row>
    <row r="357" customFormat="false" ht="15" hidden="false" customHeight="true" outlineLevel="0" collapsed="false">
      <c r="J357" s="1" t="n">
        <f aca="false">DAY(A357)</f>
        <v>30</v>
      </c>
    </row>
    <row r="358" customFormat="false" ht="15" hidden="false" customHeight="true" outlineLevel="0" collapsed="false">
      <c r="J358" s="1" t="n">
        <f aca="false">DAY(A358)</f>
        <v>30</v>
      </c>
    </row>
    <row r="359" customFormat="false" ht="15" hidden="false" customHeight="true" outlineLevel="0" collapsed="false">
      <c r="J359" s="1" t="n">
        <f aca="false">DAY(A359)</f>
        <v>30</v>
      </c>
    </row>
    <row r="360" customFormat="false" ht="15" hidden="false" customHeight="true" outlineLevel="0" collapsed="false">
      <c r="J360" s="1" t="n">
        <f aca="false">DAY(A360)</f>
        <v>30</v>
      </c>
    </row>
    <row r="361" customFormat="false" ht="15" hidden="false" customHeight="true" outlineLevel="0" collapsed="false">
      <c r="J361" s="1" t="n">
        <f aca="false">DAY(A361)</f>
        <v>30</v>
      </c>
    </row>
    <row r="362" customFormat="false" ht="15" hidden="false" customHeight="true" outlineLevel="0" collapsed="false">
      <c r="J362" s="1" t="n">
        <f aca="false">DAY(A362)</f>
        <v>30</v>
      </c>
    </row>
    <row r="363" customFormat="false" ht="15" hidden="false" customHeight="true" outlineLevel="0" collapsed="false">
      <c r="J363" s="1" t="n">
        <f aca="false">DAY(A363)</f>
        <v>30</v>
      </c>
    </row>
    <row r="364" customFormat="false" ht="15" hidden="false" customHeight="true" outlineLevel="0" collapsed="false">
      <c r="J364" s="1" t="n">
        <f aca="false">DAY(A364)</f>
        <v>30</v>
      </c>
    </row>
    <row r="365" customFormat="false" ht="15" hidden="false" customHeight="true" outlineLevel="0" collapsed="false">
      <c r="J365" s="1" t="n">
        <f aca="false">DAY(A365)</f>
        <v>30</v>
      </c>
    </row>
    <row r="366" customFormat="false" ht="15" hidden="false" customHeight="true" outlineLevel="0" collapsed="false">
      <c r="J366" s="1" t="n">
        <f aca="false">DAY(A366)</f>
        <v>30</v>
      </c>
    </row>
    <row r="367" customFormat="false" ht="15" hidden="false" customHeight="true" outlineLevel="0" collapsed="false">
      <c r="J367" s="1" t="n">
        <f aca="false">DAY(A367)</f>
        <v>30</v>
      </c>
    </row>
    <row r="368" customFormat="false" ht="15" hidden="false" customHeight="true" outlineLevel="0" collapsed="false">
      <c r="J368" s="1" t="n">
        <f aca="false">DAY(A368)</f>
        <v>30</v>
      </c>
    </row>
    <row r="369" customFormat="false" ht="15" hidden="false" customHeight="true" outlineLevel="0" collapsed="false">
      <c r="J369" s="1" t="n">
        <f aca="false">DAY(A369)</f>
        <v>30</v>
      </c>
    </row>
    <row r="370" customFormat="false" ht="15" hidden="false" customHeight="true" outlineLevel="0" collapsed="false">
      <c r="J370" s="1" t="n">
        <f aca="false">DAY(A370)</f>
        <v>30</v>
      </c>
    </row>
    <row r="371" customFormat="false" ht="15" hidden="false" customHeight="true" outlineLevel="0" collapsed="false">
      <c r="J371" s="1" t="n">
        <f aca="false">DAY(A371)</f>
        <v>30</v>
      </c>
    </row>
    <row r="372" customFormat="false" ht="15" hidden="false" customHeight="true" outlineLevel="0" collapsed="false">
      <c r="J372" s="1" t="n">
        <f aca="false">DAY(A372)</f>
        <v>30</v>
      </c>
    </row>
    <row r="373" customFormat="false" ht="15" hidden="false" customHeight="true" outlineLevel="0" collapsed="false">
      <c r="J373" s="1" t="n">
        <f aca="false">DAY(A373)</f>
        <v>30</v>
      </c>
    </row>
    <row r="374" customFormat="false" ht="15" hidden="false" customHeight="true" outlineLevel="0" collapsed="false">
      <c r="J374" s="1" t="n">
        <f aca="false">DAY(A374)</f>
        <v>30</v>
      </c>
    </row>
    <row r="375" customFormat="false" ht="15" hidden="false" customHeight="true" outlineLevel="0" collapsed="false">
      <c r="J375" s="1" t="n">
        <f aca="false">DAY(A375)</f>
        <v>30</v>
      </c>
    </row>
    <row r="376" customFormat="false" ht="15" hidden="false" customHeight="true" outlineLevel="0" collapsed="false">
      <c r="J376" s="1" t="n">
        <f aca="false">DAY(A376)</f>
        <v>30</v>
      </c>
    </row>
    <row r="377" customFormat="false" ht="15" hidden="false" customHeight="true" outlineLevel="0" collapsed="false">
      <c r="J377" s="1" t="n">
        <f aca="false">DAY(A377)</f>
        <v>30</v>
      </c>
    </row>
    <row r="378" customFormat="false" ht="15" hidden="false" customHeight="true" outlineLevel="0" collapsed="false">
      <c r="J378" s="1" t="n">
        <f aca="false">DAY(A378)</f>
        <v>30</v>
      </c>
    </row>
    <row r="379" customFormat="false" ht="15" hidden="false" customHeight="true" outlineLevel="0" collapsed="false">
      <c r="J379" s="1" t="n">
        <f aca="false">DAY(A379)</f>
        <v>30</v>
      </c>
    </row>
    <row r="380" customFormat="false" ht="15" hidden="false" customHeight="true" outlineLevel="0" collapsed="false">
      <c r="J380" s="1" t="n">
        <f aca="false">DAY(A380)</f>
        <v>30</v>
      </c>
    </row>
    <row r="381" customFormat="false" ht="15" hidden="false" customHeight="true" outlineLevel="0" collapsed="false">
      <c r="J381" s="1" t="n">
        <f aca="false">DAY(A381)</f>
        <v>30</v>
      </c>
    </row>
    <row r="382" customFormat="false" ht="15" hidden="false" customHeight="true" outlineLevel="0" collapsed="false">
      <c r="J382" s="1" t="n">
        <f aca="false">DAY(A382)</f>
        <v>30</v>
      </c>
    </row>
    <row r="383" customFormat="false" ht="15" hidden="false" customHeight="true" outlineLevel="0" collapsed="false">
      <c r="J383" s="1" t="n">
        <f aca="false">DAY(A383)</f>
        <v>30</v>
      </c>
    </row>
    <row r="384" customFormat="false" ht="15" hidden="false" customHeight="true" outlineLevel="0" collapsed="false">
      <c r="J384" s="1" t="n">
        <f aca="false">DAY(A384)</f>
        <v>30</v>
      </c>
    </row>
    <row r="385" customFormat="false" ht="15" hidden="false" customHeight="true" outlineLevel="0" collapsed="false">
      <c r="J385" s="1" t="n">
        <f aca="false">DAY(A385)</f>
        <v>30</v>
      </c>
    </row>
    <row r="386" customFormat="false" ht="15" hidden="false" customHeight="true" outlineLevel="0" collapsed="false">
      <c r="J386" s="1" t="n">
        <f aca="false">DAY(A386)</f>
        <v>30</v>
      </c>
    </row>
    <row r="387" customFormat="false" ht="15" hidden="false" customHeight="true" outlineLevel="0" collapsed="false">
      <c r="J387" s="1" t="n">
        <f aca="false">DAY(A387)</f>
        <v>30</v>
      </c>
    </row>
    <row r="388" customFormat="false" ht="15" hidden="false" customHeight="true" outlineLevel="0" collapsed="false">
      <c r="J388" s="1" t="n">
        <f aca="false">DAY(A388)</f>
        <v>30</v>
      </c>
    </row>
    <row r="389" customFormat="false" ht="15" hidden="false" customHeight="true" outlineLevel="0" collapsed="false">
      <c r="J389" s="1" t="n">
        <f aca="false">DAY(A389)</f>
        <v>30</v>
      </c>
    </row>
    <row r="390" customFormat="false" ht="15" hidden="false" customHeight="true" outlineLevel="0" collapsed="false">
      <c r="J390" s="1" t="n">
        <f aca="false">DAY(A390)</f>
        <v>30</v>
      </c>
    </row>
    <row r="391" customFormat="false" ht="15" hidden="false" customHeight="true" outlineLevel="0" collapsed="false">
      <c r="J391" s="1" t="n">
        <f aca="false">DAY(A391)</f>
        <v>30</v>
      </c>
    </row>
    <row r="392" customFormat="false" ht="15" hidden="false" customHeight="true" outlineLevel="0" collapsed="false">
      <c r="J392" s="1" t="n">
        <f aca="false">DAY(A392)</f>
        <v>30</v>
      </c>
    </row>
    <row r="393" customFormat="false" ht="15" hidden="false" customHeight="true" outlineLevel="0" collapsed="false">
      <c r="J393" s="1" t="n">
        <f aca="false">DAY(A393)</f>
        <v>30</v>
      </c>
    </row>
    <row r="394" customFormat="false" ht="15" hidden="false" customHeight="true" outlineLevel="0" collapsed="false">
      <c r="J394" s="1" t="n">
        <f aca="false">DAY(A394)</f>
        <v>30</v>
      </c>
    </row>
    <row r="395" customFormat="false" ht="15" hidden="false" customHeight="true" outlineLevel="0" collapsed="false">
      <c r="J395" s="1" t="n">
        <f aca="false">DAY(A395)</f>
        <v>30</v>
      </c>
    </row>
    <row r="396" customFormat="false" ht="15" hidden="false" customHeight="true" outlineLevel="0" collapsed="false">
      <c r="J396" s="1" t="n">
        <f aca="false">DAY(A396)</f>
        <v>30</v>
      </c>
    </row>
    <row r="397" customFormat="false" ht="15" hidden="false" customHeight="true" outlineLevel="0" collapsed="false">
      <c r="J397" s="1" t="n">
        <f aca="false">DAY(A397)</f>
        <v>30</v>
      </c>
    </row>
    <row r="398" customFormat="false" ht="15" hidden="false" customHeight="true" outlineLevel="0" collapsed="false">
      <c r="J398" s="1" t="n">
        <f aca="false">DAY(A398)</f>
        <v>30</v>
      </c>
    </row>
    <row r="399" customFormat="false" ht="15" hidden="false" customHeight="true" outlineLevel="0" collapsed="false">
      <c r="J399" s="1" t="n">
        <f aca="false">DAY(A399)</f>
        <v>30</v>
      </c>
    </row>
    <row r="400" customFormat="false" ht="15" hidden="false" customHeight="true" outlineLevel="0" collapsed="false">
      <c r="J400" s="1" t="n">
        <f aca="false">DAY(A400)</f>
        <v>30</v>
      </c>
    </row>
    <row r="401" customFormat="false" ht="15" hidden="false" customHeight="true" outlineLevel="0" collapsed="false">
      <c r="J401" s="1" t="n">
        <f aca="false">DAY(A401)</f>
        <v>30</v>
      </c>
    </row>
    <row r="402" customFormat="false" ht="15" hidden="false" customHeight="true" outlineLevel="0" collapsed="false">
      <c r="J402" s="1" t="n">
        <f aca="false">DAY(A402)</f>
        <v>30</v>
      </c>
    </row>
    <row r="403" customFormat="false" ht="15" hidden="false" customHeight="true" outlineLevel="0" collapsed="false">
      <c r="J403" s="1" t="n">
        <f aca="false">DAY(A403)</f>
        <v>30</v>
      </c>
    </row>
    <row r="404" customFormat="false" ht="15" hidden="false" customHeight="true" outlineLevel="0" collapsed="false">
      <c r="J404" s="1" t="n">
        <f aca="false">DAY(A404)</f>
        <v>30</v>
      </c>
    </row>
    <row r="405" customFormat="false" ht="15" hidden="false" customHeight="true" outlineLevel="0" collapsed="false">
      <c r="J405" s="1" t="n">
        <f aca="false">DAY(A405)</f>
        <v>30</v>
      </c>
    </row>
    <row r="406" customFormat="false" ht="15" hidden="false" customHeight="true" outlineLevel="0" collapsed="false">
      <c r="J406" s="1" t="n">
        <f aca="false">DAY(A406)</f>
        <v>30</v>
      </c>
    </row>
    <row r="407" customFormat="false" ht="15" hidden="false" customHeight="true" outlineLevel="0" collapsed="false">
      <c r="J407" s="1" t="n">
        <f aca="false">DAY(A407)</f>
        <v>30</v>
      </c>
    </row>
    <row r="408" customFormat="false" ht="15" hidden="false" customHeight="true" outlineLevel="0" collapsed="false">
      <c r="J408" s="1" t="n">
        <f aca="false">DAY(A408)</f>
        <v>30</v>
      </c>
    </row>
    <row r="409" customFormat="false" ht="15" hidden="false" customHeight="true" outlineLevel="0" collapsed="false">
      <c r="J409" s="1" t="n">
        <f aca="false">DAY(A409)</f>
        <v>30</v>
      </c>
    </row>
    <row r="410" customFormat="false" ht="15" hidden="false" customHeight="true" outlineLevel="0" collapsed="false">
      <c r="J410" s="1" t="n">
        <f aca="false">DAY(A410)</f>
        <v>30</v>
      </c>
    </row>
    <row r="411" customFormat="false" ht="15" hidden="false" customHeight="true" outlineLevel="0" collapsed="false">
      <c r="J411" s="1" t="n">
        <f aca="false">DAY(A411)</f>
        <v>30</v>
      </c>
    </row>
    <row r="412" customFormat="false" ht="15" hidden="false" customHeight="true" outlineLevel="0" collapsed="false">
      <c r="J412" s="1" t="n">
        <f aca="false">DAY(A412)</f>
        <v>30</v>
      </c>
    </row>
    <row r="413" customFormat="false" ht="15" hidden="false" customHeight="true" outlineLevel="0" collapsed="false">
      <c r="J413" s="1" t="n">
        <f aca="false">DAY(A413)</f>
        <v>30</v>
      </c>
    </row>
    <row r="414" customFormat="false" ht="15" hidden="false" customHeight="true" outlineLevel="0" collapsed="false">
      <c r="J414" s="1" t="n">
        <f aca="false">DAY(A414)</f>
        <v>30</v>
      </c>
    </row>
    <row r="415" customFormat="false" ht="15" hidden="false" customHeight="true" outlineLevel="0" collapsed="false">
      <c r="J415" s="1" t="n">
        <f aca="false">DAY(A415)</f>
        <v>30</v>
      </c>
    </row>
    <row r="416" customFormat="false" ht="15" hidden="false" customHeight="true" outlineLevel="0" collapsed="false">
      <c r="J416" s="1" t="n">
        <f aca="false">DAY(A416)</f>
        <v>30</v>
      </c>
    </row>
    <row r="417" customFormat="false" ht="15" hidden="false" customHeight="true" outlineLevel="0" collapsed="false">
      <c r="J417" s="1" t="n">
        <f aca="false">DAY(A417)</f>
        <v>30</v>
      </c>
    </row>
    <row r="418" customFormat="false" ht="15" hidden="false" customHeight="true" outlineLevel="0" collapsed="false">
      <c r="J418" s="1" t="n">
        <f aca="false">DAY(A418)</f>
        <v>30</v>
      </c>
    </row>
    <row r="419" customFormat="false" ht="15" hidden="false" customHeight="true" outlineLevel="0" collapsed="false">
      <c r="J419" s="1" t="n">
        <f aca="false">DAY(A419)</f>
        <v>30</v>
      </c>
    </row>
    <row r="420" customFormat="false" ht="15" hidden="false" customHeight="true" outlineLevel="0" collapsed="false">
      <c r="J420" s="1" t="n">
        <f aca="false">DAY(A420)</f>
        <v>30</v>
      </c>
    </row>
    <row r="421" customFormat="false" ht="15" hidden="false" customHeight="true" outlineLevel="0" collapsed="false">
      <c r="J421" s="1" t="n">
        <f aca="false">DAY(A421)</f>
        <v>30</v>
      </c>
    </row>
    <row r="422" customFormat="false" ht="15" hidden="false" customHeight="true" outlineLevel="0" collapsed="false">
      <c r="J422" s="1" t="n">
        <f aca="false">DAY(A422)</f>
        <v>30</v>
      </c>
    </row>
    <row r="423" customFormat="false" ht="15" hidden="false" customHeight="true" outlineLevel="0" collapsed="false">
      <c r="J423" s="1" t="n">
        <f aca="false">DAY(A423)</f>
        <v>30</v>
      </c>
    </row>
    <row r="424" customFormat="false" ht="15" hidden="false" customHeight="true" outlineLevel="0" collapsed="false">
      <c r="J424" s="1" t="n">
        <f aca="false">DAY(A424)</f>
        <v>30</v>
      </c>
    </row>
    <row r="425" customFormat="false" ht="15" hidden="false" customHeight="true" outlineLevel="0" collapsed="false">
      <c r="J425" s="1" t="n">
        <f aca="false">DAY(A425)</f>
        <v>30</v>
      </c>
    </row>
    <row r="426" customFormat="false" ht="15" hidden="false" customHeight="true" outlineLevel="0" collapsed="false">
      <c r="J426" s="1" t="n">
        <f aca="false">DAY(A426)</f>
        <v>30</v>
      </c>
    </row>
    <row r="427" customFormat="false" ht="15" hidden="false" customHeight="true" outlineLevel="0" collapsed="false">
      <c r="J427" s="1" t="n">
        <f aca="false">DAY(A427)</f>
        <v>30</v>
      </c>
    </row>
    <row r="428" customFormat="false" ht="15" hidden="false" customHeight="true" outlineLevel="0" collapsed="false">
      <c r="J428" s="1" t="n">
        <f aca="false">DAY(A428)</f>
        <v>30</v>
      </c>
    </row>
    <row r="429" customFormat="false" ht="15" hidden="false" customHeight="true" outlineLevel="0" collapsed="false">
      <c r="J429" s="1" t="n">
        <f aca="false">DAY(A429)</f>
        <v>30</v>
      </c>
    </row>
    <row r="430" customFormat="false" ht="15" hidden="false" customHeight="true" outlineLevel="0" collapsed="false">
      <c r="J430" s="1" t="n">
        <f aca="false">DAY(A430)</f>
        <v>30</v>
      </c>
    </row>
    <row r="431" customFormat="false" ht="15" hidden="false" customHeight="true" outlineLevel="0" collapsed="false">
      <c r="J431" s="1" t="n">
        <f aca="false">DAY(A431)</f>
        <v>30</v>
      </c>
    </row>
    <row r="432" customFormat="false" ht="15" hidden="false" customHeight="true" outlineLevel="0" collapsed="false">
      <c r="J432" s="1" t="n">
        <f aca="false">DAY(A432)</f>
        <v>30</v>
      </c>
    </row>
    <row r="433" customFormat="false" ht="15" hidden="false" customHeight="true" outlineLevel="0" collapsed="false">
      <c r="J433" s="1" t="n">
        <f aca="false">DAY(A433)</f>
        <v>30</v>
      </c>
    </row>
    <row r="434" customFormat="false" ht="15" hidden="false" customHeight="true" outlineLevel="0" collapsed="false">
      <c r="J434" s="1" t="n">
        <f aca="false">DAY(A434)</f>
        <v>30</v>
      </c>
    </row>
    <row r="435" customFormat="false" ht="15" hidden="false" customHeight="true" outlineLevel="0" collapsed="false">
      <c r="J435" s="1" t="n">
        <f aca="false">DAY(A435)</f>
        <v>30</v>
      </c>
    </row>
    <row r="436" customFormat="false" ht="15" hidden="false" customHeight="true" outlineLevel="0" collapsed="false">
      <c r="J436" s="1" t="n">
        <f aca="false">DAY(A436)</f>
        <v>30</v>
      </c>
    </row>
    <row r="437" customFormat="false" ht="15" hidden="false" customHeight="true" outlineLevel="0" collapsed="false">
      <c r="J437" s="1" t="n">
        <f aca="false">DAY(A437)</f>
        <v>30</v>
      </c>
    </row>
    <row r="438" customFormat="false" ht="15" hidden="false" customHeight="true" outlineLevel="0" collapsed="false">
      <c r="J438" s="1" t="n">
        <f aca="false">DAY(A438)</f>
        <v>30</v>
      </c>
    </row>
    <row r="439" customFormat="false" ht="15" hidden="false" customHeight="true" outlineLevel="0" collapsed="false">
      <c r="J439" s="1" t="n">
        <f aca="false">DAY(A439)</f>
        <v>30</v>
      </c>
    </row>
    <row r="440" customFormat="false" ht="15" hidden="false" customHeight="true" outlineLevel="0" collapsed="false">
      <c r="J440" s="1" t="n">
        <f aca="false">DAY(A440)</f>
        <v>30</v>
      </c>
    </row>
    <row r="441" customFormat="false" ht="15" hidden="false" customHeight="true" outlineLevel="0" collapsed="false">
      <c r="J441" s="1" t="n">
        <f aca="false">DAY(A441)</f>
        <v>30</v>
      </c>
    </row>
    <row r="442" customFormat="false" ht="15" hidden="false" customHeight="true" outlineLevel="0" collapsed="false">
      <c r="J442" s="1" t="n">
        <f aca="false">DAY(A442)</f>
        <v>30</v>
      </c>
    </row>
    <row r="443" customFormat="false" ht="15" hidden="false" customHeight="true" outlineLevel="0" collapsed="false">
      <c r="J443" s="1" t="n">
        <f aca="false">DAY(A443)</f>
        <v>30</v>
      </c>
    </row>
    <row r="444" customFormat="false" ht="15" hidden="false" customHeight="true" outlineLevel="0" collapsed="false">
      <c r="J444" s="1" t="n">
        <f aca="false">DAY(A444)</f>
        <v>30</v>
      </c>
    </row>
    <row r="445" customFormat="false" ht="15" hidden="false" customHeight="true" outlineLevel="0" collapsed="false">
      <c r="J445" s="1" t="n">
        <f aca="false">DAY(A445)</f>
        <v>30</v>
      </c>
    </row>
    <row r="446" customFormat="false" ht="15" hidden="false" customHeight="true" outlineLevel="0" collapsed="false">
      <c r="J446" s="1" t="n">
        <f aca="false">DAY(A446)</f>
        <v>30</v>
      </c>
    </row>
    <row r="447" customFormat="false" ht="15" hidden="false" customHeight="true" outlineLevel="0" collapsed="false">
      <c r="J447" s="1" t="n">
        <f aca="false">DAY(A447)</f>
        <v>30</v>
      </c>
    </row>
    <row r="448" customFormat="false" ht="15" hidden="false" customHeight="true" outlineLevel="0" collapsed="false">
      <c r="J448" s="1" t="n">
        <f aca="false">DAY(A448)</f>
        <v>30</v>
      </c>
    </row>
    <row r="449" customFormat="false" ht="15" hidden="false" customHeight="true" outlineLevel="0" collapsed="false">
      <c r="J449" s="1" t="n">
        <f aca="false">DAY(A449)</f>
        <v>30</v>
      </c>
    </row>
    <row r="450" customFormat="false" ht="15" hidden="false" customHeight="true" outlineLevel="0" collapsed="false">
      <c r="J450" s="1" t="n">
        <f aca="false">DAY(A450)</f>
        <v>30</v>
      </c>
    </row>
    <row r="451" customFormat="false" ht="15" hidden="false" customHeight="true" outlineLevel="0" collapsed="false">
      <c r="J451" s="1" t="n">
        <f aca="false">DAY(A451)</f>
        <v>30</v>
      </c>
    </row>
    <row r="452" customFormat="false" ht="15" hidden="false" customHeight="true" outlineLevel="0" collapsed="false">
      <c r="J452" s="1" t="n">
        <f aca="false">DAY(A452)</f>
        <v>30</v>
      </c>
    </row>
    <row r="453" customFormat="false" ht="15" hidden="false" customHeight="true" outlineLevel="0" collapsed="false">
      <c r="J453" s="1" t="n">
        <f aca="false">DAY(A453)</f>
        <v>30</v>
      </c>
    </row>
    <row r="454" customFormat="false" ht="15" hidden="false" customHeight="true" outlineLevel="0" collapsed="false">
      <c r="J454" s="1" t="n">
        <f aca="false">DAY(A454)</f>
        <v>30</v>
      </c>
    </row>
    <row r="455" customFormat="false" ht="15" hidden="false" customHeight="true" outlineLevel="0" collapsed="false">
      <c r="J455" s="1" t="n">
        <f aca="false">DAY(A455)</f>
        <v>30</v>
      </c>
    </row>
    <row r="456" customFormat="false" ht="15" hidden="false" customHeight="true" outlineLevel="0" collapsed="false">
      <c r="J456" s="1" t="n">
        <f aca="false">DAY(A456)</f>
        <v>30</v>
      </c>
    </row>
    <row r="457" customFormat="false" ht="15" hidden="false" customHeight="true" outlineLevel="0" collapsed="false">
      <c r="J457" s="1" t="n">
        <f aca="false">DAY(A457)</f>
        <v>30</v>
      </c>
    </row>
    <row r="458" customFormat="false" ht="15" hidden="false" customHeight="true" outlineLevel="0" collapsed="false">
      <c r="J458" s="1" t="n">
        <f aca="false">DAY(A458)</f>
        <v>30</v>
      </c>
    </row>
    <row r="459" customFormat="false" ht="15" hidden="false" customHeight="true" outlineLevel="0" collapsed="false">
      <c r="J459" s="1" t="n">
        <f aca="false">DAY(A459)</f>
        <v>30</v>
      </c>
    </row>
    <row r="460" customFormat="false" ht="15" hidden="false" customHeight="true" outlineLevel="0" collapsed="false">
      <c r="J460" s="1" t="n">
        <f aca="false">DAY(A460)</f>
        <v>30</v>
      </c>
    </row>
    <row r="461" customFormat="false" ht="15" hidden="false" customHeight="true" outlineLevel="0" collapsed="false">
      <c r="J461" s="1" t="n">
        <f aca="false">DAY(A461)</f>
        <v>30</v>
      </c>
    </row>
    <row r="462" customFormat="false" ht="15" hidden="false" customHeight="true" outlineLevel="0" collapsed="false">
      <c r="J462" s="1" t="n">
        <f aca="false">DAY(A462)</f>
        <v>30</v>
      </c>
    </row>
    <row r="463" customFormat="false" ht="15" hidden="false" customHeight="true" outlineLevel="0" collapsed="false">
      <c r="J463" s="1" t="n">
        <f aca="false">DAY(A463)</f>
        <v>30</v>
      </c>
    </row>
    <row r="464" customFormat="false" ht="15" hidden="false" customHeight="true" outlineLevel="0" collapsed="false">
      <c r="J464" s="1" t="n">
        <f aca="false">DAY(A464)</f>
        <v>30</v>
      </c>
    </row>
    <row r="465" customFormat="false" ht="15" hidden="false" customHeight="true" outlineLevel="0" collapsed="false">
      <c r="J465" s="1" t="n">
        <f aca="false">DAY(A465)</f>
        <v>30</v>
      </c>
    </row>
    <row r="466" customFormat="false" ht="15" hidden="false" customHeight="true" outlineLevel="0" collapsed="false">
      <c r="J466" s="1" t="n">
        <f aca="false">DAY(A466)</f>
        <v>30</v>
      </c>
    </row>
    <row r="467" customFormat="false" ht="15" hidden="false" customHeight="true" outlineLevel="0" collapsed="false">
      <c r="J467" s="1" t="n">
        <f aca="false">DAY(A467)</f>
        <v>30</v>
      </c>
    </row>
    <row r="468" customFormat="false" ht="15" hidden="false" customHeight="true" outlineLevel="0" collapsed="false">
      <c r="J468" s="1" t="n">
        <f aca="false">DAY(A468)</f>
        <v>30</v>
      </c>
    </row>
    <row r="469" customFormat="false" ht="15" hidden="false" customHeight="true" outlineLevel="0" collapsed="false">
      <c r="J469" s="1" t="n">
        <f aca="false">DAY(A469)</f>
        <v>30</v>
      </c>
    </row>
    <row r="470" customFormat="false" ht="15" hidden="false" customHeight="true" outlineLevel="0" collapsed="false">
      <c r="J470" s="1" t="n">
        <f aca="false">DAY(A470)</f>
        <v>30</v>
      </c>
    </row>
    <row r="471" customFormat="false" ht="15" hidden="false" customHeight="true" outlineLevel="0" collapsed="false">
      <c r="J471" s="1" t="n">
        <f aca="false">DAY(A471)</f>
        <v>30</v>
      </c>
    </row>
    <row r="472" customFormat="false" ht="15" hidden="false" customHeight="true" outlineLevel="0" collapsed="false">
      <c r="J472" s="1" t="n">
        <f aca="false">DAY(A472)</f>
        <v>30</v>
      </c>
    </row>
    <row r="473" customFormat="false" ht="15" hidden="false" customHeight="true" outlineLevel="0" collapsed="false">
      <c r="J473" s="1" t="n">
        <f aca="false">DAY(A473)</f>
        <v>30</v>
      </c>
    </row>
    <row r="474" customFormat="false" ht="15" hidden="false" customHeight="true" outlineLevel="0" collapsed="false">
      <c r="J474" s="1" t="n">
        <f aca="false">DAY(A474)</f>
        <v>30</v>
      </c>
    </row>
    <row r="475" customFormat="false" ht="15" hidden="false" customHeight="true" outlineLevel="0" collapsed="false">
      <c r="J475" s="1" t="n">
        <f aca="false">DAY(A475)</f>
        <v>30</v>
      </c>
    </row>
    <row r="476" customFormat="false" ht="15" hidden="false" customHeight="true" outlineLevel="0" collapsed="false">
      <c r="J476" s="1" t="n">
        <f aca="false">DAY(A476)</f>
        <v>30</v>
      </c>
    </row>
    <row r="477" customFormat="false" ht="15" hidden="false" customHeight="true" outlineLevel="0" collapsed="false">
      <c r="J477" s="1" t="n">
        <f aca="false">DAY(A477)</f>
        <v>30</v>
      </c>
    </row>
    <row r="478" customFormat="false" ht="15" hidden="false" customHeight="true" outlineLevel="0" collapsed="false">
      <c r="J478" s="1" t="n">
        <f aca="false">DAY(A478)</f>
        <v>30</v>
      </c>
    </row>
    <row r="479" customFormat="false" ht="15" hidden="false" customHeight="true" outlineLevel="0" collapsed="false">
      <c r="J479" s="1" t="n">
        <f aca="false">DAY(A479)</f>
        <v>30</v>
      </c>
    </row>
    <row r="480" customFormat="false" ht="15" hidden="false" customHeight="true" outlineLevel="0" collapsed="false">
      <c r="J480" s="1" t="n">
        <f aca="false">DAY(A480)</f>
        <v>30</v>
      </c>
    </row>
    <row r="481" customFormat="false" ht="15" hidden="false" customHeight="true" outlineLevel="0" collapsed="false">
      <c r="J481" s="1" t="n">
        <f aca="false">DAY(A481)</f>
        <v>30</v>
      </c>
    </row>
    <row r="482" customFormat="false" ht="15" hidden="false" customHeight="true" outlineLevel="0" collapsed="false">
      <c r="J482" s="1" t="n">
        <f aca="false">DAY(A482)</f>
        <v>30</v>
      </c>
    </row>
    <row r="483" customFormat="false" ht="15" hidden="false" customHeight="true" outlineLevel="0" collapsed="false">
      <c r="J483" s="1" t="n">
        <f aca="false">DAY(A483)</f>
        <v>30</v>
      </c>
    </row>
    <row r="484" customFormat="false" ht="15" hidden="false" customHeight="true" outlineLevel="0" collapsed="false">
      <c r="J484" s="1" t="n">
        <f aca="false">DAY(A484)</f>
        <v>30</v>
      </c>
    </row>
    <row r="485" customFormat="false" ht="15" hidden="false" customHeight="true" outlineLevel="0" collapsed="false">
      <c r="J485" s="1" t="n">
        <f aca="false">DAY(A485)</f>
        <v>30</v>
      </c>
    </row>
    <row r="486" customFormat="false" ht="15" hidden="false" customHeight="true" outlineLevel="0" collapsed="false">
      <c r="J486" s="1" t="n">
        <f aca="false">DAY(A486)</f>
        <v>30</v>
      </c>
    </row>
    <row r="487" customFormat="false" ht="15" hidden="false" customHeight="true" outlineLevel="0" collapsed="false">
      <c r="J487" s="1" t="n">
        <f aca="false">DAY(A487)</f>
        <v>30</v>
      </c>
    </row>
    <row r="488" customFormat="false" ht="15" hidden="false" customHeight="true" outlineLevel="0" collapsed="false">
      <c r="J488" s="1" t="n">
        <f aca="false">DAY(A488)</f>
        <v>30</v>
      </c>
    </row>
    <row r="489" customFormat="false" ht="15" hidden="false" customHeight="true" outlineLevel="0" collapsed="false">
      <c r="J489" s="1" t="n">
        <f aca="false">DAY(A489)</f>
        <v>30</v>
      </c>
    </row>
    <row r="490" customFormat="false" ht="15" hidden="false" customHeight="true" outlineLevel="0" collapsed="false">
      <c r="J490" s="1" t="n">
        <f aca="false">DAY(A490)</f>
        <v>30</v>
      </c>
    </row>
    <row r="491" customFormat="false" ht="15" hidden="false" customHeight="true" outlineLevel="0" collapsed="false">
      <c r="J491" s="1" t="n">
        <f aca="false">DAY(A491)</f>
        <v>30</v>
      </c>
    </row>
    <row r="492" customFormat="false" ht="15" hidden="false" customHeight="true" outlineLevel="0" collapsed="false">
      <c r="J492" s="1" t="n">
        <f aca="false">DAY(A492)</f>
        <v>30</v>
      </c>
    </row>
    <row r="493" customFormat="false" ht="15" hidden="false" customHeight="true" outlineLevel="0" collapsed="false">
      <c r="J493" s="1" t="n">
        <f aca="false">DAY(A493)</f>
        <v>30</v>
      </c>
    </row>
    <row r="494" customFormat="false" ht="15" hidden="false" customHeight="true" outlineLevel="0" collapsed="false">
      <c r="J494" s="1" t="n">
        <f aca="false">DAY(A494)</f>
        <v>30</v>
      </c>
    </row>
    <row r="495" customFormat="false" ht="15" hidden="false" customHeight="true" outlineLevel="0" collapsed="false">
      <c r="J495" s="1" t="n">
        <f aca="false">DAY(A495)</f>
        <v>30</v>
      </c>
    </row>
    <row r="496" customFormat="false" ht="15" hidden="false" customHeight="true" outlineLevel="0" collapsed="false">
      <c r="J496" s="1" t="n">
        <f aca="false">DAY(A496)</f>
        <v>30</v>
      </c>
    </row>
    <row r="497" customFormat="false" ht="15" hidden="false" customHeight="true" outlineLevel="0" collapsed="false">
      <c r="J497" s="1" t="n">
        <f aca="false">DAY(A497)</f>
        <v>30</v>
      </c>
    </row>
    <row r="498" customFormat="false" ht="15" hidden="false" customHeight="true" outlineLevel="0" collapsed="false">
      <c r="J498" s="1" t="n">
        <f aca="false">DAY(A498)</f>
        <v>30</v>
      </c>
    </row>
    <row r="499" customFormat="false" ht="15" hidden="false" customHeight="true" outlineLevel="0" collapsed="false">
      <c r="J499" s="1" t="n">
        <f aca="false">DAY(A499)</f>
        <v>30</v>
      </c>
    </row>
    <row r="500" customFormat="false" ht="15" hidden="false" customHeight="true" outlineLevel="0" collapsed="false">
      <c r="J500" s="1" t="n">
        <f aca="false">DAY(A500)</f>
        <v>30</v>
      </c>
    </row>
  </sheetData>
  <mergeCells count="1">
    <mergeCell ref="A1:H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505"/>
  <sheetViews>
    <sheetView showFormulas="false" showGridLines="true" showRowColHeaders="true" showZeros="true" rightToLeft="false" tabSelected="true" showOutlineSymbols="true" defaultGridColor="true" view="normal" topLeftCell="A62" colorId="64" zoomScale="85" zoomScaleNormal="85" zoomScalePageLayoutView="100" workbookViewId="0">
      <selection pane="topLeft" activeCell="I30" activeCellId="0" sqref="I30:K87"/>
    </sheetView>
  </sheetViews>
  <sheetFormatPr defaultColWidth="9.22265625" defaultRowHeight="13.5" zeroHeight="false" outlineLevelRow="0" outlineLevelCol="0"/>
  <cols>
    <col collapsed="false" customWidth="true" hidden="false" outlineLevel="0" max="1" min="1" style="67" width="10.71"/>
    <col collapsed="false" customWidth="true" hidden="false" outlineLevel="0" max="2" min="2" style="1" width="19.85"/>
    <col collapsed="false" customWidth="true" hidden="false" outlineLevel="0" max="3" min="3" style="1" width="57.15"/>
    <col collapsed="false" customWidth="true" hidden="false" outlineLevel="0" max="4" min="4" style="1" width="15.71"/>
    <col collapsed="false" customWidth="true" hidden="false" outlineLevel="0" max="9" min="5" style="2" width="14.28"/>
    <col collapsed="false" customWidth="true" hidden="false" outlineLevel="0" max="10" min="10" style="75" width="6.68"/>
    <col collapsed="false" customWidth="true" hidden="false" outlineLevel="0" max="11" min="11" style="75" width="11.52"/>
    <col collapsed="false" customWidth="true" hidden="false" outlineLevel="0" max="12" min="12" style="76" width="16.28"/>
    <col collapsed="false" customWidth="true" hidden="false" outlineLevel="0" max="13" min="13" style="77" width="16.28"/>
    <col collapsed="false" customWidth="true" hidden="false" outlineLevel="0" max="14" min="14" style="0" width="16.28"/>
    <col collapsed="false" customWidth="true" hidden="false" outlineLevel="0" max="32" min="17" style="1" width="9.13"/>
  </cols>
  <sheetData>
    <row r="1" customFormat="false" ht="31.5" hidden="false" customHeight="true" outlineLevel="0" collapsed="false">
      <c r="A1" s="3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customFormat="false" ht="24.75" hidden="false" customHeight="true" outlineLevel="0" collapsed="false">
      <c r="A2" s="71" t="s">
        <v>60</v>
      </c>
      <c r="B2" s="72" t="s">
        <v>61</v>
      </c>
      <c r="C2" s="72" t="s">
        <v>67</v>
      </c>
      <c r="D2" s="72" t="s">
        <v>63</v>
      </c>
      <c r="E2" s="73" t="s">
        <v>64</v>
      </c>
      <c r="F2" s="72" t="s">
        <v>38</v>
      </c>
      <c r="G2" s="72" t="s">
        <v>68</v>
      </c>
      <c r="H2" s="72" t="s">
        <v>69</v>
      </c>
      <c r="I2" s="73" t="s">
        <v>65</v>
      </c>
      <c r="J2" s="78" t="s">
        <v>66</v>
      </c>
      <c r="K2" s="78" t="s">
        <v>70</v>
      </c>
      <c r="L2" s="79" t="s">
        <v>71</v>
      </c>
      <c r="M2" s="80" t="s">
        <v>72</v>
      </c>
    </row>
    <row r="3" customFormat="false" ht="13.5" hidden="false" customHeight="true" outlineLevel="0" collapsed="false">
      <c r="A3" s="81"/>
      <c r="B3" s="82"/>
      <c r="C3" s="82"/>
      <c r="D3" s="82"/>
      <c r="E3" s="2" t="n">
        <v>0.82</v>
      </c>
      <c r="F3" s="2" t="n">
        <f aca="false">E3*0.21</f>
        <v>0.1722</v>
      </c>
      <c r="G3" s="2" t="n">
        <f aca="false">IF(L3="No",0,IF(AND(L3="Si",M3="Si"),(I3-(E3+F3))/2,IF(L3="Si",(I3-(E3+F3)),0)))</f>
        <v>0</v>
      </c>
      <c r="H3" s="2" t="n">
        <f aca="false">IF(M3="No",0,IF(AND(L3="Si",M3="Si"),(I3-(E3+F3))/2,IF(M3="Si",(I3-(E3+F3)),0)))</f>
        <v>0.00780000000000003</v>
      </c>
      <c r="I3" s="2" t="n">
        <v>1</v>
      </c>
      <c r="J3" s="75" t="s">
        <v>73</v>
      </c>
      <c r="M3" s="77" t="s">
        <v>74</v>
      </c>
      <c r="P3" s="1" t="n">
        <f aca="false">DAY(A3)</f>
        <v>30</v>
      </c>
    </row>
    <row r="4" customFormat="false" ht="13.5" hidden="false" customHeight="true" outlineLevel="0" collapsed="false">
      <c r="A4" s="81"/>
      <c r="B4" s="82"/>
      <c r="C4" s="82"/>
      <c r="D4" s="82"/>
      <c r="G4" s="2" t="n">
        <f aca="false">IF(L4="No",0,IF(AND(L4="Si",M4="Si"),(I4-(E4+F4))/2,IF(L4="Si",(I4-(E4+F4)),0)))</f>
        <v>0</v>
      </c>
      <c r="H4" s="2" t="n">
        <f aca="false">IF(M4="No",0,IF(AND(L4="Si",M4="Si"),(I4-(E4+F4))/2,IF(M4="Si",(I4-(E4+F4)),0)))</f>
        <v>0</v>
      </c>
      <c r="M4" s="77" t="s">
        <v>74</v>
      </c>
      <c r="P4" s="1" t="n">
        <f aca="false">DAY(A4)</f>
        <v>30</v>
      </c>
    </row>
    <row r="5" customFormat="false" ht="13.5" hidden="false" customHeight="true" outlineLevel="0" collapsed="false">
      <c r="A5" s="81"/>
      <c r="B5" s="82"/>
      <c r="C5" s="82"/>
      <c r="D5" s="82"/>
      <c r="G5" s="2" t="n">
        <f aca="false">IF(L5="No",0,IF(AND(L5="Si",M5="Si"),(I5-(E5+F5))/2,IF(L5="Si",(I5-(E5+F5)),0)))</f>
        <v>0</v>
      </c>
      <c r="H5" s="2" t="n">
        <f aca="false">IF(M5="No",0,IF(AND(L5="Si",M5="Si"),(I5-(E5+F5))/2,IF(M5="Si",(I5-(E5+F5)),0)))</f>
        <v>0</v>
      </c>
      <c r="M5" s="77" t="s">
        <v>74</v>
      </c>
      <c r="P5" s="1" t="n">
        <f aca="false">DAY(A5)</f>
        <v>30</v>
      </c>
    </row>
    <row r="6" customFormat="false" ht="13.5" hidden="false" customHeight="true" outlineLevel="0" collapsed="false">
      <c r="A6" s="81"/>
      <c r="B6" s="82"/>
      <c r="C6" s="82"/>
      <c r="D6" s="82"/>
      <c r="G6" s="2" t="n">
        <f aca="false">IF(L6="No",0,IF(AND(L6="Si",M6="Si"),(I6-(E6+F6))/2,IF(L6="Si",(I6-(E6+F6)),0)))</f>
        <v>0</v>
      </c>
      <c r="H6" s="2" t="n">
        <f aca="false">IF(M6="No",0,IF(AND(L6="Si",M6="Si"),(I6-(E6+F6))/2,IF(M6="Si",(I6-(E6+F6)),0)))</f>
        <v>0</v>
      </c>
      <c r="M6" s="77" t="s">
        <v>74</v>
      </c>
      <c r="P6" s="1" t="n">
        <f aca="false">DAY(A6)</f>
        <v>30</v>
      </c>
    </row>
    <row r="7" customFormat="false" ht="13.5" hidden="false" customHeight="true" outlineLevel="0" collapsed="false">
      <c r="A7" s="81"/>
      <c r="B7" s="82"/>
      <c r="C7" s="82"/>
      <c r="D7" s="82"/>
      <c r="G7" s="2" t="n">
        <f aca="false">IF(L7="No",0,IF(AND(L7="Si",M7="Si"),(I7-(E7+F7))/2,IF(L7="Si",(I7-(E7+F7)),0)))</f>
        <v>0</v>
      </c>
      <c r="H7" s="2" t="n">
        <f aca="false">IF(M7="No",0,IF(AND(L7="Si",M7="Si"),(I7-(E7+F7))/2,IF(M7="Si",(I7-(E7+F7)),0)))</f>
        <v>0</v>
      </c>
      <c r="M7" s="77" t="s">
        <v>74</v>
      </c>
      <c r="P7" s="1" t="n">
        <f aca="false">DAY(A7)</f>
        <v>30</v>
      </c>
    </row>
    <row r="8" customFormat="false" ht="13.5" hidden="false" customHeight="true" outlineLevel="0" collapsed="false">
      <c r="A8" s="81"/>
      <c r="B8" s="82"/>
      <c r="C8" s="82"/>
      <c r="D8" s="82"/>
      <c r="G8" s="2" t="n">
        <f aca="false">IF(L8="No",0,IF(AND(L8="Si",M8="Si"),(I8-(E8+F8))/2,IF(L8="Si",(I8-(E8+F8)),0)))</f>
        <v>0</v>
      </c>
      <c r="H8" s="2" t="n">
        <f aca="false">IF(M8="No",0,IF(AND(L8="Si",M8="Si"),(I8-(E8+F8))/2,IF(M8="Si",(I8-(E8+F8)),0)))</f>
        <v>0</v>
      </c>
      <c r="M8" s="77" t="s">
        <v>74</v>
      </c>
      <c r="P8" s="1" t="n">
        <f aca="false">DAY(A8)</f>
        <v>30</v>
      </c>
    </row>
    <row r="9" customFormat="false" ht="13.5" hidden="false" customHeight="true" outlineLevel="0" collapsed="false">
      <c r="A9" s="81"/>
      <c r="B9" s="82"/>
      <c r="C9" s="82"/>
      <c r="D9" s="82"/>
      <c r="G9" s="2" t="n">
        <f aca="false">IF(L9="No",0,IF(AND(L9="Si",M9="Si"),(I9-(E9+F9))/2,IF(L9="Si",(I9-(E9+F9)),0)))</f>
        <v>0</v>
      </c>
      <c r="H9" s="2" t="n">
        <f aca="false">IF(M9="No",0,IF(AND(L9="Si",M9="Si"),(I9-(E9+F9))/2,IF(M9="Si",(I9-(E9+F9)),0)))</f>
        <v>0</v>
      </c>
      <c r="M9" s="77" t="s">
        <v>74</v>
      </c>
      <c r="P9" s="1" t="n">
        <f aca="false">DAY(A9)</f>
        <v>30</v>
      </c>
    </row>
    <row r="10" customFormat="false" ht="13.5" hidden="false" customHeight="true" outlineLevel="0" collapsed="false">
      <c r="A10" s="81"/>
      <c r="B10" s="82"/>
      <c r="C10" s="82"/>
      <c r="D10" s="82"/>
      <c r="G10" s="2" t="n">
        <f aca="false">IF(L10="No",0,IF(AND(L10="Si",M10="Si"),(I10-(E10+F10))/2,IF(L10="Si",(I10-(E10+F10)),0)))</f>
        <v>0</v>
      </c>
      <c r="H10" s="2" t="n">
        <f aca="false">IF(M10="No",0,IF(AND(L10="Si",M10="Si"),(I10-(E10+F10))/2,IF(M10="Si",(I10-(E10+F10)),0)))</f>
        <v>0</v>
      </c>
      <c r="M10" s="77" t="s">
        <v>74</v>
      </c>
      <c r="P10" s="1" t="n">
        <f aca="false">DAY(A10)</f>
        <v>30</v>
      </c>
    </row>
    <row r="11" customFormat="false" ht="13.5" hidden="false" customHeight="true" outlineLevel="0" collapsed="false">
      <c r="A11" s="81"/>
      <c r="B11" s="82"/>
      <c r="C11" s="82"/>
      <c r="D11" s="82"/>
      <c r="G11" s="2" t="n">
        <f aca="false">IF(L11="No",0,IF(AND(L11="Si",M11="Si"),(I11-(E11+F11))/2,IF(L11="Si",(I11-(E11+F11)),0)))</f>
        <v>0</v>
      </c>
      <c r="H11" s="2" t="n">
        <f aca="false">IF(M11="No",0,IF(AND(L11="Si",M11="Si"),(I11-(E11+F11))/2,IF(M11="Si",(I11-(E11+F11)),0)))</f>
        <v>0</v>
      </c>
      <c r="M11" s="77" t="s">
        <v>74</v>
      </c>
      <c r="P11" s="1" t="n">
        <f aca="false">DAY(A11)</f>
        <v>30</v>
      </c>
    </row>
    <row r="12" customFormat="false" ht="13.5" hidden="false" customHeight="true" outlineLevel="0" collapsed="false">
      <c r="A12" s="81"/>
      <c r="B12" s="82"/>
      <c r="C12" s="82"/>
      <c r="D12" s="82"/>
      <c r="G12" s="2" t="n">
        <f aca="false">IF(L12="No",0,IF(AND(L12="Si",M12="Si"),(I12-(E12+F12))/2,IF(L12="Si",(I12-(E12+F12)),0)))</f>
        <v>0</v>
      </c>
      <c r="H12" s="2" t="n">
        <f aca="false">IF(M12="No",0,IF(AND(L12="Si",M12="Si"),(I12-(E12+F12))/2,IF(M12="Si",(I12-(E12+F12)),0)))</f>
        <v>0</v>
      </c>
      <c r="M12" s="77" t="s">
        <v>74</v>
      </c>
      <c r="P12" s="1" t="n">
        <f aca="false">DAY(A12)</f>
        <v>30</v>
      </c>
    </row>
    <row r="13" customFormat="false" ht="13.5" hidden="false" customHeight="true" outlineLevel="0" collapsed="false">
      <c r="A13" s="81"/>
      <c r="B13" s="82"/>
      <c r="C13" s="82"/>
      <c r="D13" s="82"/>
      <c r="G13" s="2" t="n">
        <f aca="false">IF(L13="No",0,IF(AND(L13="Si",M13="Si"),(I13-(E13+F13))/2,IF(L13="Si",(I13-(E13+F13)),0)))</f>
        <v>0</v>
      </c>
      <c r="H13" s="2" t="n">
        <f aca="false">IF(M13="No",0,IF(AND(L13="Si",M13="Si"),(I13-(E13+F13))/2,IF(M13="Si",(I13-(E13+F13)),0)))</f>
        <v>0</v>
      </c>
      <c r="M13" s="77" t="s">
        <v>74</v>
      </c>
      <c r="P13" s="1" t="n">
        <f aca="false">DAY(A13)</f>
        <v>30</v>
      </c>
    </row>
    <row r="14" customFormat="false" ht="13.5" hidden="false" customHeight="true" outlineLevel="0" collapsed="false">
      <c r="A14" s="81"/>
      <c r="B14" s="82"/>
      <c r="C14" s="82"/>
      <c r="D14" s="82"/>
      <c r="G14" s="2" t="n">
        <f aca="false">IF(L14="No",0,IF(AND(L14="Si",M14="Si"),(I14-(E14+F14))/2,IF(L14="Si",(I14-(E14+F14)),0)))</f>
        <v>0</v>
      </c>
      <c r="H14" s="2" t="n">
        <f aca="false">IF(M14="No",0,IF(AND(L14="Si",M14="Si"),(I14-(E14+F14))/2,IF(M14="Si",(I14-(E14+F14)),0)))</f>
        <v>0</v>
      </c>
      <c r="M14" s="77" t="s">
        <v>74</v>
      </c>
      <c r="P14" s="1" t="n">
        <f aca="false">DAY(A14)</f>
        <v>30</v>
      </c>
    </row>
    <row r="15" customFormat="false" ht="13.5" hidden="false" customHeight="true" outlineLevel="0" collapsed="false">
      <c r="A15" s="81"/>
      <c r="B15" s="82"/>
      <c r="C15" s="82"/>
      <c r="D15" s="82"/>
      <c r="G15" s="2" t="n">
        <f aca="false">IF(L15="No",0,IF(AND(L15="Si",M15="Si"),(I15-(E15+F15))/2,IF(L15="Si",(I15-(E15+F15)),0)))</f>
        <v>0</v>
      </c>
      <c r="H15" s="2" t="n">
        <f aca="false">IF(M15="No",0,IF(AND(L15="Si",M15="Si"),(I15-(E15+F15))/2,IF(M15="Si",(I15-(E15+F15)),0)))</f>
        <v>0</v>
      </c>
      <c r="M15" s="77" t="s">
        <v>74</v>
      </c>
      <c r="P15" s="1" t="n">
        <f aca="false">DAY(A15)</f>
        <v>30</v>
      </c>
    </row>
    <row r="16" customFormat="false" ht="13.5" hidden="false" customHeight="true" outlineLevel="0" collapsed="false">
      <c r="A16" s="81"/>
      <c r="B16" s="82"/>
      <c r="C16" s="82"/>
      <c r="D16" s="82"/>
      <c r="G16" s="2" t="n">
        <f aca="false">IF(L16="No",0,IF(AND(L16="Si",M16="Si"),(I16-(E16+F16))/2,IF(L16="Si",(I16-(E16+F16)),0)))</f>
        <v>0</v>
      </c>
      <c r="H16" s="2" t="n">
        <f aca="false">IF(M16="No",0,IF(AND(L16="Si",M16="Si"),(I16-(E16+F16))/2,IF(M16="Si",(I16-(E16+F16)),0)))</f>
        <v>0</v>
      </c>
      <c r="M16" s="77" t="s">
        <v>74</v>
      </c>
      <c r="P16" s="1" t="n">
        <f aca="false">DAY(A16)</f>
        <v>30</v>
      </c>
    </row>
    <row r="17" customFormat="false" ht="13.5" hidden="false" customHeight="true" outlineLevel="0" collapsed="false">
      <c r="A17" s="81"/>
      <c r="B17" s="82"/>
      <c r="C17" s="82"/>
      <c r="D17" s="82"/>
      <c r="G17" s="2" t="n">
        <f aca="false">IF(L17="No",0,IF(AND(L17="Si",M17="Si"),(I17-(E17+F17))/2,IF(L17="Si",(I17-(E17+F17)),0)))</f>
        <v>0</v>
      </c>
      <c r="H17" s="2" t="n">
        <f aca="false">IF(M17="No",0,IF(AND(L17="Si",M17="Si"),(I17-(E17+F17))/2,IF(M17="Si",(I17-(E17+F17)),0)))</f>
        <v>0</v>
      </c>
      <c r="M17" s="77" t="s">
        <v>74</v>
      </c>
      <c r="P17" s="1" t="n">
        <f aca="false">DAY(A17)</f>
        <v>30</v>
      </c>
    </row>
    <row r="18" customFormat="false" ht="13.5" hidden="false" customHeight="true" outlineLevel="0" collapsed="false">
      <c r="A18" s="81"/>
      <c r="B18" s="82"/>
      <c r="C18" s="82"/>
      <c r="D18" s="82"/>
      <c r="G18" s="2" t="n">
        <f aca="false">IF(L18="No",0,IF(AND(L18="Si",M18="Si"),(I18-(E18+F18))/2,IF(L18="Si",(I18-(E18+F18)),0)))</f>
        <v>0</v>
      </c>
      <c r="H18" s="2" t="n">
        <f aca="false">IF(M18="No",0,IF(AND(L18="Si",M18="Si"),(I18-(E18+F18))/2,IF(M18="Si",(I18-(E18+F18)),0)))</f>
        <v>0</v>
      </c>
      <c r="M18" s="77" t="s">
        <v>74</v>
      </c>
      <c r="P18" s="1" t="n">
        <f aca="false">DAY(A18)</f>
        <v>30</v>
      </c>
    </row>
    <row r="19" customFormat="false" ht="13.5" hidden="false" customHeight="true" outlineLevel="0" collapsed="false">
      <c r="A19" s="81"/>
      <c r="B19" s="82"/>
      <c r="C19" s="82"/>
      <c r="D19" s="82"/>
      <c r="G19" s="2" t="n">
        <f aca="false">IF(L19="No",0,IF(AND(L19="Si",M19="Si"),(I19-(E19+F19))/2,IF(L19="Si",(I19-(E19+F19)),0)))</f>
        <v>0</v>
      </c>
      <c r="H19" s="2" t="n">
        <f aca="false">IF(M19="No",0,IF(AND(L19="Si",M19="Si"),(I19-(E19+F19))/2,IF(M19="Si",(I19-(E19+F19)),0)))</f>
        <v>0</v>
      </c>
      <c r="M19" s="77" t="s">
        <v>74</v>
      </c>
      <c r="P19" s="1" t="n">
        <f aca="false">DAY(A19)</f>
        <v>30</v>
      </c>
    </row>
    <row r="20" customFormat="false" ht="13.5" hidden="false" customHeight="true" outlineLevel="0" collapsed="false">
      <c r="A20" s="81"/>
      <c r="B20" s="82"/>
      <c r="C20" s="82"/>
      <c r="D20" s="82"/>
      <c r="G20" s="2" t="n">
        <f aca="false">IF(L20="No",0,IF(AND(L20="Si",M20="Si"),(I20-(E20+F20))/2,IF(L20="Si",(I20-(E20+F20)),0)))</f>
        <v>0</v>
      </c>
      <c r="H20" s="2" t="n">
        <f aca="false">IF(M20="No",0,IF(AND(L20="Si",M20="Si"),(I20-(E20+F20))/2,IF(M20="Si",(I20-(E20+F20)),0)))</f>
        <v>0</v>
      </c>
      <c r="M20" s="77" t="s">
        <v>74</v>
      </c>
      <c r="P20" s="1" t="n">
        <f aca="false">DAY(A20)</f>
        <v>30</v>
      </c>
    </row>
    <row r="21" customFormat="false" ht="13.5" hidden="false" customHeight="true" outlineLevel="0" collapsed="false">
      <c r="A21" s="81"/>
      <c r="B21" s="82"/>
      <c r="C21" s="82"/>
      <c r="D21" s="82"/>
      <c r="G21" s="2" t="n">
        <f aca="false">IF(L21="No",0,IF(AND(L21="Si",M21="Si"),(I21-(E21+F21))/2,IF(L21="Si",(I21-(E21+F21)),0)))</f>
        <v>0</v>
      </c>
      <c r="H21" s="2" t="n">
        <f aca="false">IF(M21="No",0,IF(AND(L21="Si",M21="Si"),(I21-(E21+F21))/2,IF(M21="Si",(I21-(E21+F21)),0)))</f>
        <v>0</v>
      </c>
      <c r="M21" s="77" t="s">
        <v>74</v>
      </c>
      <c r="P21" s="1" t="n">
        <f aca="false">DAY(A21)</f>
        <v>30</v>
      </c>
    </row>
    <row r="22" customFormat="false" ht="13.5" hidden="false" customHeight="true" outlineLevel="0" collapsed="false">
      <c r="A22" s="81"/>
      <c r="B22" s="82"/>
      <c r="C22" s="82"/>
      <c r="D22" s="82"/>
      <c r="G22" s="2" t="n">
        <f aca="false">IF(L22="No",0,IF(AND(L22="Si",M22="Si"),(I22-(E22+F22))/2,IF(L22="Si",(I22-(E22+F22)),0)))</f>
        <v>0</v>
      </c>
      <c r="H22" s="2" t="n">
        <f aca="false">IF(M22="No",0,IF(AND(L22="Si",M22="Si"),(I22-(E22+F22))/2,IF(M22="Si",(I22-(E22+F22)),0)))</f>
        <v>0</v>
      </c>
      <c r="M22" s="77" t="s">
        <v>74</v>
      </c>
      <c r="P22" s="1" t="n">
        <f aca="false">DAY(A22)</f>
        <v>30</v>
      </c>
    </row>
    <row r="23" customFormat="false" ht="13.5" hidden="false" customHeight="true" outlineLevel="0" collapsed="false">
      <c r="A23" s="81"/>
      <c r="B23" s="82"/>
      <c r="C23" s="82"/>
      <c r="D23" s="82"/>
      <c r="G23" s="2" t="n">
        <f aca="false">IF(L23="No",0,IF(AND(L23="Si",M23="Si"),(I23-(E23+F23))/2,IF(L23="Si",(I23-(E23+F23)),0)))</f>
        <v>0</v>
      </c>
      <c r="H23" s="2" t="n">
        <f aca="false">IF(M23="No",0,IF(AND(L23="Si",M23="Si"),(I23-(E23+F23))/2,IF(M23="Si",(I23-(E23+F23)),0)))</f>
        <v>0</v>
      </c>
      <c r="M23" s="77" t="s">
        <v>74</v>
      </c>
      <c r="P23" s="1" t="n">
        <f aca="false">DAY(A23)</f>
        <v>30</v>
      </c>
    </row>
    <row r="24" customFormat="false" ht="13.5" hidden="false" customHeight="true" outlineLevel="0" collapsed="false">
      <c r="A24" s="81"/>
      <c r="B24" s="82"/>
      <c r="C24" s="82"/>
      <c r="D24" s="82"/>
      <c r="G24" s="2" t="n">
        <f aca="false">IF(L24="No",0,IF(AND(L24="Si",M24="Si"),(I24-(E24+F24))/2,IF(L24="Si",(I24-(E24+F24)),0)))</f>
        <v>0</v>
      </c>
      <c r="H24" s="2" t="n">
        <f aca="false">IF(M24="No",0,IF(AND(L24="Si",M24="Si"),(I24-(E24+F24))/2,IF(M24="Si",(I24-(E24+F24)),0)))</f>
        <v>0</v>
      </c>
      <c r="M24" s="77" t="s">
        <v>74</v>
      </c>
      <c r="P24" s="1" t="n">
        <f aca="false">DAY(A24)</f>
        <v>30</v>
      </c>
    </row>
    <row r="25" customFormat="false" ht="13.5" hidden="false" customHeight="true" outlineLevel="0" collapsed="false">
      <c r="A25" s="81"/>
      <c r="B25" s="82"/>
      <c r="C25" s="82"/>
      <c r="D25" s="82"/>
      <c r="G25" s="2" t="n">
        <f aca="false">IF(L25="No",0,IF(AND(L25="Si",M25="Si"),(I25-(E25+F25))/2,IF(L25="Si",(I25-(E25+F25)),0)))</f>
        <v>0</v>
      </c>
      <c r="H25" s="2" t="n">
        <f aca="false">IF(M25="No",0,IF(AND(L25="Si",M25="Si"),(I25-(E25+F25))/2,IF(M25="Si",(I25-(E25+F25)),0)))</f>
        <v>0</v>
      </c>
      <c r="M25" s="77" t="s">
        <v>74</v>
      </c>
      <c r="P25" s="1" t="n">
        <f aca="false">DAY(A25)</f>
        <v>30</v>
      </c>
    </row>
    <row r="26" customFormat="false" ht="13.5" hidden="false" customHeight="true" outlineLevel="0" collapsed="false">
      <c r="A26" s="81"/>
      <c r="B26" s="82"/>
      <c r="C26" s="82"/>
      <c r="D26" s="82"/>
      <c r="G26" s="2" t="n">
        <f aca="false">IF(L26="No",0,IF(AND(L26="Si",M26="Si"),(I26-(E26+F26))/2,IF(L26="Si",(I26-(E26+F26)),0)))</f>
        <v>0</v>
      </c>
      <c r="H26" s="2" t="n">
        <f aca="false">IF(M26="No",0,IF(AND(L26="Si",M26="Si"),(I26-(E26+F26))/2,IF(M26="Si",(I26-(E26+F26)),0)))</f>
        <v>0</v>
      </c>
      <c r="M26" s="77" t="s">
        <v>74</v>
      </c>
      <c r="P26" s="1" t="n">
        <f aca="false">DAY(A26)</f>
        <v>30</v>
      </c>
    </row>
    <row r="27" customFormat="false" ht="13.5" hidden="false" customHeight="true" outlineLevel="0" collapsed="false">
      <c r="A27" s="81"/>
      <c r="B27" s="82"/>
      <c r="C27" s="82"/>
      <c r="D27" s="82"/>
      <c r="G27" s="2" t="n">
        <f aca="false">IF(L27="No",0,IF(AND(L27="Si",M27="Si"),(I27-(E27+F27))/2,IF(L27="Si",(I27-(E27+F27)),0)))</f>
        <v>0</v>
      </c>
      <c r="H27" s="2" t="n">
        <f aca="false">IF(M27="No",0,IF(AND(L27="Si",M27="Si"),(I27-(E27+F27))/2,IF(M27="Si",(I27-(E27+F27)),0)))</f>
        <v>0</v>
      </c>
      <c r="M27" s="77" t="s">
        <v>74</v>
      </c>
      <c r="P27" s="1" t="n">
        <f aca="false">DAY(A27)</f>
        <v>30</v>
      </c>
    </row>
    <row r="28" customFormat="false" ht="13.5" hidden="false" customHeight="true" outlineLevel="0" collapsed="false">
      <c r="A28" s="81"/>
      <c r="B28" s="82"/>
      <c r="C28" s="82"/>
      <c r="D28" s="82"/>
      <c r="G28" s="2" t="n">
        <f aca="false">IF(L28="No",0,IF(AND(L28="Si",M28="Si"),(I28-(E28+F28))/2,IF(L28="Si",(I28-(E28+F28)),0)))</f>
        <v>0</v>
      </c>
      <c r="H28" s="2" t="n">
        <f aca="false">IF(M28="No",0,IF(AND(L28="Si",M28="Si"),(I28-(E28+F28))/2,IF(M28="Si",(I28-(E28+F28)),0)))</f>
        <v>0</v>
      </c>
      <c r="M28" s="77" t="s">
        <v>74</v>
      </c>
      <c r="P28" s="1" t="n">
        <f aca="false">DAY(A28)</f>
        <v>30</v>
      </c>
    </row>
    <row r="29" customFormat="false" ht="13.5" hidden="false" customHeight="true" outlineLevel="0" collapsed="false">
      <c r="A29" s="81"/>
      <c r="B29" s="82"/>
      <c r="C29" s="82"/>
      <c r="D29" s="82"/>
      <c r="G29" s="2" t="n">
        <f aca="false">IF(L29="No",0,IF(AND(L29="Si",M29="Si"),(I29-(E29+F29))/2,IF(L29="Si",(I29-(E29+F29)),0)))</f>
        <v>0</v>
      </c>
      <c r="H29" s="2" t="n">
        <f aca="false">IF(M29="No",0,IF(AND(L29="Si",M29="Si"),(I29-(E29+F29))/2,IF(M29="Si",(I29-(E29+F29)),0)))</f>
        <v>0</v>
      </c>
      <c r="M29" s="77" t="s">
        <v>74</v>
      </c>
      <c r="P29" s="1" t="n">
        <f aca="false">DAY(A29)</f>
        <v>30</v>
      </c>
    </row>
    <row r="30" customFormat="false" ht="13.5" hidden="false" customHeight="true" outlineLevel="0" collapsed="false">
      <c r="A30" s="83"/>
      <c r="G30" s="2" t="n">
        <v>0</v>
      </c>
      <c r="H30" s="2" t="n">
        <v>0</v>
      </c>
      <c r="M30" s="77" t="s">
        <v>74</v>
      </c>
      <c r="P30" s="1" t="n">
        <f aca="false">DAY(A30)</f>
        <v>30</v>
      </c>
    </row>
    <row r="31" customFormat="false" ht="13.5" hidden="false" customHeight="true" outlineLevel="0" collapsed="false">
      <c r="A31" s="83"/>
      <c r="G31" s="2" t="n">
        <v>0</v>
      </c>
      <c r="H31" s="2" t="n">
        <v>0</v>
      </c>
      <c r="M31" s="77" t="s">
        <v>74</v>
      </c>
      <c r="P31" s="1" t="n">
        <f aca="false">DAY(A31)</f>
        <v>30</v>
      </c>
    </row>
    <row r="32" customFormat="false" ht="13.5" hidden="false" customHeight="true" outlineLevel="0" collapsed="false">
      <c r="A32" s="83"/>
      <c r="G32" s="2" t="n">
        <v>0</v>
      </c>
      <c r="H32" s="2" t="n">
        <v>0</v>
      </c>
      <c r="M32" s="77" t="s">
        <v>74</v>
      </c>
      <c r="P32" s="1" t="n">
        <f aca="false">DAY(A32)</f>
        <v>30</v>
      </c>
    </row>
    <row r="33" customFormat="false" ht="13.5" hidden="false" customHeight="true" outlineLevel="0" collapsed="false">
      <c r="A33" s="83"/>
      <c r="G33" s="2" t="n">
        <v>0</v>
      </c>
      <c r="H33" s="2" t="n">
        <v>0</v>
      </c>
      <c r="M33" s="77" t="s">
        <v>74</v>
      </c>
      <c r="P33" s="1" t="n">
        <f aca="false">DAY(A33)</f>
        <v>30</v>
      </c>
    </row>
    <row r="34" customFormat="false" ht="13.5" hidden="false" customHeight="true" outlineLevel="0" collapsed="false">
      <c r="A34" s="83"/>
      <c r="G34" s="2" t="n">
        <v>0</v>
      </c>
      <c r="H34" s="2" t="n">
        <v>0</v>
      </c>
      <c r="M34" s="77" t="s">
        <v>74</v>
      </c>
      <c r="P34" s="1" t="n">
        <f aca="false">DAY(A34)</f>
        <v>30</v>
      </c>
    </row>
    <row r="35" customFormat="false" ht="13.5" hidden="false" customHeight="true" outlineLevel="0" collapsed="false">
      <c r="A35" s="83"/>
      <c r="G35" s="2" t="n">
        <v>0</v>
      </c>
      <c r="H35" s="2" t="n">
        <v>0</v>
      </c>
      <c r="M35" s="77" t="s">
        <v>74</v>
      </c>
      <c r="P35" s="1" t="n">
        <f aca="false">DAY(A35)</f>
        <v>30</v>
      </c>
    </row>
    <row r="36" customFormat="false" ht="13.5" hidden="false" customHeight="true" outlineLevel="0" collapsed="false">
      <c r="A36" s="83"/>
      <c r="G36" s="2" t="n">
        <v>0</v>
      </c>
      <c r="H36" s="2" t="n">
        <v>0</v>
      </c>
      <c r="M36" s="77" t="s">
        <v>74</v>
      </c>
      <c r="P36" s="1" t="n">
        <f aca="false">DAY(A36)</f>
        <v>30</v>
      </c>
    </row>
    <row r="37" customFormat="false" ht="13.5" hidden="false" customHeight="true" outlineLevel="0" collapsed="false">
      <c r="A37" s="83"/>
      <c r="G37" s="2" t="n">
        <v>0</v>
      </c>
      <c r="H37" s="2" t="n">
        <v>0</v>
      </c>
      <c r="M37" s="77" t="s">
        <v>74</v>
      </c>
      <c r="P37" s="1" t="n">
        <f aca="false">DAY(A37)</f>
        <v>30</v>
      </c>
    </row>
    <row r="38" customFormat="false" ht="13.5" hidden="false" customHeight="true" outlineLevel="0" collapsed="false">
      <c r="A38" s="83"/>
      <c r="G38" s="2" t="n">
        <v>0</v>
      </c>
      <c r="H38" s="2" t="n">
        <v>0</v>
      </c>
      <c r="M38" s="77" t="s">
        <v>74</v>
      </c>
      <c r="P38" s="1" t="n">
        <f aca="false">DAY(A38)</f>
        <v>30</v>
      </c>
    </row>
    <row r="39" customFormat="false" ht="13.5" hidden="false" customHeight="true" outlineLevel="0" collapsed="false">
      <c r="A39" s="83"/>
      <c r="G39" s="2" t="n">
        <v>0</v>
      </c>
      <c r="H39" s="2" t="n">
        <v>0</v>
      </c>
      <c r="M39" s="77" t="s">
        <v>74</v>
      </c>
      <c r="P39" s="1" t="n">
        <f aca="false">DAY(A39)</f>
        <v>30</v>
      </c>
    </row>
    <row r="40" customFormat="false" ht="13.5" hidden="false" customHeight="true" outlineLevel="0" collapsed="false">
      <c r="A40" s="83"/>
      <c r="G40" s="2" t="n">
        <v>0</v>
      </c>
      <c r="H40" s="2" t="n">
        <v>0</v>
      </c>
      <c r="M40" s="77" t="s">
        <v>74</v>
      </c>
      <c r="P40" s="1" t="n">
        <f aca="false">DAY(A40)</f>
        <v>30</v>
      </c>
    </row>
    <row r="41" customFormat="false" ht="13.5" hidden="false" customHeight="true" outlineLevel="0" collapsed="false">
      <c r="A41" s="83"/>
      <c r="G41" s="2" t="n">
        <v>0</v>
      </c>
      <c r="H41" s="2" t="n">
        <v>0</v>
      </c>
      <c r="M41" s="77" t="s">
        <v>74</v>
      </c>
      <c r="P41" s="1" t="n">
        <f aca="false">DAY(A41)</f>
        <v>30</v>
      </c>
    </row>
    <row r="42" customFormat="false" ht="13.5" hidden="false" customHeight="true" outlineLevel="0" collapsed="false">
      <c r="A42" s="83"/>
      <c r="G42" s="2" t="n">
        <v>0</v>
      </c>
      <c r="H42" s="2" t="n">
        <v>0</v>
      </c>
      <c r="M42" s="77" t="s">
        <v>74</v>
      </c>
      <c r="P42" s="1" t="n">
        <f aca="false">DAY(A42)</f>
        <v>30</v>
      </c>
    </row>
    <row r="43" customFormat="false" ht="13.5" hidden="false" customHeight="true" outlineLevel="0" collapsed="false">
      <c r="A43" s="83"/>
      <c r="G43" s="2" t="n">
        <v>0</v>
      </c>
      <c r="H43" s="2" t="n">
        <v>0</v>
      </c>
      <c r="M43" s="77" t="s">
        <v>74</v>
      </c>
      <c r="P43" s="1" t="n">
        <f aca="false">DAY(A43)</f>
        <v>30</v>
      </c>
    </row>
    <row r="44" customFormat="false" ht="13.5" hidden="false" customHeight="true" outlineLevel="0" collapsed="false">
      <c r="A44" s="83"/>
      <c r="G44" s="2" t="n">
        <v>0</v>
      </c>
      <c r="H44" s="2" t="n">
        <v>0</v>
      </c>
      <c r="M44" s="77" t="s">
        <v>74</v>
      </c>
      <c r="P44" s="1" t="n">
        <f aca="false">DAY(A44)</f>
        <v>30</v>
      </c>
    </row>
    <row r="45" customFormat="false" ht="13.5" hidden="false" customHeight="true" outlineLevel="0" collapsed="false">
      <c r="A45" s="83"/>
      <c r="G45" s="2" t="n">
        <v>0</v>
      </c>
      <c r="H45" s="2" t="n">
        <v>0</v>
      </c>
      <c r="M45" s="77" t="s">
        <v>74</v>
      </c>
      <c r="P45" s="1" t="n">
        <f aca="false">DAY(A45)</f>
        <v>30</v>
      </c>
    </row>
    <row r="46" customFormat="false" ht="13.5" hidden="false" customHeight="true" outlineLevel="0" collapsed="false">
      <c r="A46" s="83"/>
      <c r="G46" s="2" t="n">
        <v>0</v>
      </c>
      <c r="H46" s="2" t="n">
        <v>0</v>
      </c>
      <c r="M46" s="77" t="s">
        <v>74</v>
      </c>
      <c r="P46" s="1" t="n">
        <f aca="false">DAY(A46)</f>
        <v>30</v>
      </c>
    </row>
    <row r="47" customFormat="false" ht="13.5" hidden="false" customHeight="true" outlineLevel="0" collapsed="false">
      <c r="A47" s="83"/>
      <c r="G47" s="2" t="n">
        <v>0</v>
      </c>
      <c r="H47" s="2" t="n">
        <v>0</v>
      </c>
      <c r="M47" s="77" t="s">
        <v>74</v>
      </c>
      <c r="P47" s="1" t="n">
        <f aca="false">DAY(A47)</f>
        <v>30</v>
      </c>
    </row>
    <row r="48" customFormat="false" ht="13.5" hidden="false" customHeight="true" outlineLevel="0" collapsed="false">
      <c r="A48" s="83"/>
      <c r="G48" s="2" t="n">
        <v>0</v>
      </c>
      <c r="H48" s="2" t="n">
        <v>0</v>
      </c>
      <c r="M48" s="77" t="s">
        <v>74</v>
      </c>
      <c r="P48" s="1" t="n">
        <f aca="false">DAY(A48)</f>
        <v>30</v>
      </c>
    </row>
    <row r="49" customFormat="false" ht="13.5" hidden="false" customHeight="true" outlineLevel="0" collapsed="false">
      <c r="A49" s="83"/>
      <c r="G49" s="2" t="n">
        <v>0</v>
      </c>
      <c r="H49" s="2" t="n">
        <v>0</v>
      </c>
      <c r="M49" s="77" t="s">
        <v>74</v>
      </c>
      <c r="P49" s="1" t="n">
        <f aca="false">DAY(A49)</f>
        <v>30</v>
      </c>
    </row>
    <row r="50" customFormat="false" ht="13.5" hidden="false" customHeight="true" outlineLevel="0" collapsed="false">
      <c r="A50" s="83"/>
      <c r="G50" s="2" t="n">
        <v>0</v>
      </c>
      <c r="H50" s="2" t="n">
        <v>0</v>
      </c>
      <c r="M50" s="77" t="s">
        <v>74</v>
      </c>
      <c r="P50" s="1" t="n">
        <f aca="false">DAY(A50)</f>
        <v>30</v>
      </c>
    </row>
    <row r="51" customFormat="false" ht="13.5" hidden="false" customHeight="true" outlineLevel="0" collapsed="false">
      <c r="A51" s="83"/>
      <c r="G51" s="2" t="n">
        <v>0</v>
      </c>
      <c r="H51" s="2" t="n">
        <v>0</v>
      </c>
      <c r="M51" s="77" t="s">
        <v>74</v>
      </c>
      <c r="P51" s="1" t="n">
        <f aca="false">DAY(A51)</f>
        <v>30</v>
      </c>
    </row>
    <row r="52" customFormat="false" ht="13.5" hidden="false" customHeight="true" outlineLevel="0" collapsed="false">
      <c r="A52" s="83"/>
      <c r="G52" s="2" t="n">
        <v>0</v>
      </c>
      <c r="H52" s="2" t="n">
        <v>0</v>
      </c>
      <c r="M52" s="77" t="s">
        <v>74</v>
      </c>
      <c r="P52" s="1" t="n">
        <f aca="false">DAY(A52)</f>
        <v>30</v>
      </c>
    </row>
    <row r="53" customFormat="false" ht="13.5" hidden="false" customHeight="true" outlineLevel="0" collapsed="false">
      <c r="A53" s="83"/>
      <c r="G53" s="2" t="n">
        <v>0</v>
      </c>
      <c r="H53" s="2" t="n">
        <v>0</v>
      </c>
      <c r="M53" s="77" t="s">
        <v>74</v>
      </c>
      <c r="P53" s="1" t="n">
        <f aca="false">DAY(A53)</f>
        <v>30</v>
      </c>
    </row>
    <row r="54" customFormat="false" ht="13.5" hidden="false" customHeight="true" outlineLevel="0" collapsed="false">
      <c r="A54" s="83"/>
      <c r="G54" s="2" t="n">
        <v>0</v>
      </c>
      <c r="H54" s="2" t="n">
        <v>0</v>
      </c>
      <c r="M54" s="77" t="s">
        <v>74</v>
      </c>
      <c r="P54" s="1" t="n">
        <f aca="false">DAY(A54)</f>
        <v>30</v>
      </c>
    </row>
    <row r="55" customFormat="false" ht="13.5" hidden="false" customHeight="true" outlineLevel="0" collapsed="false">
      <c r="A55" s="83"/>
      <c r="G55" s="2" t="n">
        <v>0</v>
      </c>
      <c r="H55" s="2" t="n">
        <v>0</v>
      </c>
      <c r="M55" s="77" t="s">
        <v>74</v>
      </c>
      <c r="P55" s="1" t="n">
        <f aca="false">DAY(A55)</f>
        <v>30</v>
      </c>
    </row>
    <row r="56" customFormat="false" ht="13.5" hidden="false" customHeight="true" outlineLevel="0" collapsed="false">
      <c r="A56" s="83"/>
      <c r="G56" s="2" t="n">
        <v>0</v>
      </c>
      <c r="H56" s="2" t="n">
        <v>0</v>
      </c>
      <c r="M56" s="77" t="s">
        <v>74</v>
      </c>
      <c r="P56" s="1" t="n">
        <f aca="false">DAY(A56)</f>
        <v>30</v>
      </c>
    </row>
    <row r="57" customFormat="false" ht="13.5" hidden="false" customHeight="true" outlineLevel="0" collapsed="false">
      <c r="A57" s="83"/>
      <c r="G57" s="2" t="n">
        <v>0</v>
      </c>
      <c r="H57" s="2" t="n">
        <v>0</v>
      </c>
      <c r="M57" s="77" t="s">
        <v>74</v>
      </c>
      <c r="P57" s="1" t="n">
        <f aca="false">DAY(A57)</f>
        <v>30</v>
      </c>
    </row>
    <row r="58" customFormat="false" ht="13.5" hidden="false" customHeight="true" outlineLevel="0" collapsed="false">
      <c r="A58" s="83"/>
      <c r="G58" s="2" t="n">
        <v>0</v>
      </c>
      <c r="H58" s="2" t="n">
        <v>0</v>
      </c>
      <c r="M58" s="77" t="s">
        <v>74</v>
      </c>
      <c r="P58" s="1" t="n">
        <f aca="false">DAY(A58)</f>
        <v>30</v>
      </c>
    </row>
    <row r="59" customFormat="false" ht="13.5" hidden="false" customHeight="true" outlineLevel="0" collapsed="false">
      <c r="A59" s="83"/>
      <c r="G59" s="2" t="n">
        <v>0</v>
      </c>
      <c r="H59" s="2" t="n">
        <v>0</v>
      </c>
      <c r="M59" s="77" t="s">
        <v>74</v>
      </c>
      <c r="P59" s="1" t="n">
        <f aca="false">DAY(A59)</f>
        <v>30</v>
      </c>
    </row>
    <row r="60" customFormat="false" ht="13.5" hidden="false" customHeight="true" outlineLevel="0" collapsed="false">
      <c r="A60" s="83"/>
      <c r="G60" s="2" t="n">
        <v>0</v>
      </c>
      <c r="H60" s="2" t="n">
        <v>0</v>
      </c>
      <c r="M60" s="77" t="s">
        <v>74</v>
      </c>
      <c r="P60" s="1" t="n">
        <f aca="false">DAY(A60)</f>
        <v>30</v>
      </c>
    </row>
    <row r="61" customFormat="false" ht="13.5" hidden="false" customHeight="true" outlineLevel="0" collapsed="false">
      <c r="A61" s="83"/>
      <c r="G61" s="2" t="n">
        <v>0</v>
      </c>
      <c r="H61" s="2" t="n">
        <v>0</v>
      </c>
      <c r="M61" s="77" t="s">
        <v>74</v>
      </c>
      <c r="P61" s="1" t="n">
        <f aca="false">DAY(A61)</f>
        <v>30</v>
      </c>
    </row>
    <row r="62" customFormat="false" ht="13.5" hidden="false" customHeight="true" outlineLevel="0" collapsed="false">
      <c r="A62" s="83"/>
      <c r="G62" s="2" t="n">
        <v>0</v>
      </c>
      <c r="H62" s="2" t="n">
        <v>0</v>
      </c>
      <c r="M62" s="77" t="s">
        <v>74</v>
      </c>
      <c r="P62" s="1" t="n">
        <f aca="false">DAY(A62)</f>
        <v>30</v>
      </c>
    </row>
    <row r="63" customFormat="false" ht="13.5" hidden="false" customHeight="true" outlineLevel="0" collapsed="false">
      <c r="A63" s="83"/>
      <c r="G63" s="2" t="n">
        <v>0</v>
      </c>
      <c r="H63" s="2" t="n">
        <v>0</v>
      </c>
      <c r="M63" s="77" t="s">
        <v>74</v>
      </c>
      <c r="P63" s="1" t="n">
        <f aca="false">DAY(A63)</f>
        <v>30</v>
      </c>
    </row>
    <row r="64" customFormat="false" ht="13.5" hidden="false" customHeight="true" outlineLevel="0" collapsed="false">
      <c r="A64" s="83"/>
      <c r="G64" s="2" t="n">
        <v>0</v>
      </c>
      <c r="H64" s="2" t="n">
        <v>0</v>
      </c>
      <c r="M64" s="77" t="s">
        <v>74</v>
      </c>
      <c r="P64" s="1" t="n">
        <f aca="false">DAY(A64)</f>
        <v>30</v>
      </c>
    </row>
    <row r="65" customFormat="false" ht="13.5" hidden="false" customHeight="true" outlineLevel="0" collapsed="false">
      <c r="A65" s="83"/>
      <c r="G65" s="2" t="n">
        <v>0</v>
      </c>
      <c r="H65" s="2" t="n">
        <v>0</v>
      </c>
      <c r="M65" s="77" t="s">
        <v>74</v>
      </c>
      <c r="P65" s="1" t="n">
        <f aca="false">DAY(A65)</f>
        <v>30</v>
      </c>
    </row>
    <row r="66" customFormat="false" ht="13.5" hidden="false" customHeight="true" outlineLevel="0" collapsed="false">
      <c r="A66" s="83"/>
      <c r="G66" s="2" t="n">
        <v>0</v>
      </c>
      <c r="H66" s="2" t="n">
        <v>0</v>
      </c>
      <c r="M66" s="77" t="s">
        <v>74</v>
      </c>
      <c r="P66" s="1" t="n">
        <f aca="false">DAY(A66)</f>
        <v>30</v>
      </c>
    </row>
    <row r="67" customFormat="false" ht="13.5" hidden="false" customHeight="true" outlineLevel="0" collapsed="false">
      <c r="A67" s="83"/>
      <c r="G67" s="2" t="n">
        <v>0</v>
      </c>
      <c r="H67" s="2" t="n">
        <v>0</v>
      </c>
      <c r="M67" s="77" t="s">
        <v>74</v>
      </c>
      <c r="P67" s="1" t="n">
        <f aca="false">DAY(A67)</f>
        <v>30</v>
      </c>
    </row>
    <row r="68" customFormat="false" ht="13.5" hidden="false" customHeight="true" outlineLevel="0" collapsed="false">
      <c r="A68" s="83"/>
      <c r="G68" s="2" t="n">
        <v>0</v>
      </c>
      <c r="H68" s="2" t="n">
        <v>0</v>
      </c>
      <c r="M68" s="77" t="s">
        <v>74</v>
      </c>
      <c r="P68" s="1" t="n">
        <f aca="false">DAY(A68)</f>
        <v>30</v>
      </c>
    </row>
    <row r="69" customFormat="false" ht="13.5" hidden="false" customHeight="true" outlineLevel="0" collapsed="false">
      <c r="A69" s="83"/>
      <c r="G69" s="2" t="n">
        <v>0</v>
      </c>
      <c r="H69" s="2" t="n">
        <v>0</v>
      </c>
      <c r="M69" s="77" t="s">
        <v>74</v>
      </c>
      <c r="P69" s="1" t="n">
        <f aca="false">DAY(A69)</f>
        <v>30</v>
      </c>
    </row>
    <row r="70" customFormat="false" ht="13.5" hidden="false" customHeight="true" outlineLevel="0" collapsed="false">
      <c r="A70" s="83"/>
      <c r="G70" s="2" t="n">
        <v>0</v>
      </c>
      <c r="H70" s="2" t="n">
        <v>0</v>
      </c>
      <c r="M70" s="77" t="s">
        <v>74</v>
      </c>
      <c r="P70" s="1" t="n">
        <f aca="false">DAY(A70)</f>
        <v>30</v>
      </c>
    </row>
    <row r="71" customFormat="false" ht="13.5" hidden="false" customHeight="true" outlineLevel="0" collapsed="false">
      <c r="A71" s="83"/>
      <c r="G71" s="2" t="n">
        <v>0</v>
      </c>
      <c r="H71" s="2" t="n">
        <v>0</v>
      </c>
      <c r="M71" s="77" t="s">
        <v>74</v>
      </c>
      <c r="P71" s="1" t="n">
        <f aca="false">DAY(A71)</f>
        <v>30</v>
      </c>
    </row>
    <row r="72" customFormat="false" ht="13.5" hidden="false" customHeight="true" outlineLevel="0" collapsed="false">
      <c r="A72" s="83"/>
      <c r="G72" s="2" t="n">
        <v>0</v>
      </c>
      <c r="H72" s="2" t="n">
        <v>0</v>
      </c>
      <c r="M72" s="77" t="s">
        <v>74</v>
      </c>
      <c r="P72" s="1" t="n">
        <f aca="false">DAY(A72)</f>
        <v>30</v>
      </c>
    </row>
    <row r="73" customFormat="false" ht="13.5" hidden="false" customHeight="true" outlineLevel="0" collapsed="false">
      <c r="A73" s="83"/>
      <c r="G73" s="2" t="n">
        <v>0</v>
      </c>
      <c r="H73" s="2" t="n">
        <v>0</v>
      </c>
      <c r="M73" s="77" t="s">
        <v>74</v>
      </c>
      <c r="P73" s="1" t="n">
        <f aca="false">DAY(A73)</f>
        <v>30</v>
      </c>
    </row>
    <row r="74" customFormat="false" ht="13.5" hidden="false" customHeight="true" outlineLevel="0" collapsed="false">
      <c r="A74" s="83"/>
      <c r="G74" s="2" t="n">
        <v>0</v>
      </c>
      <c r="H74" s="2" t="n">
        <v>0</v>
      </c>
      <c r="M74" s="77" t="s">
        <v>74</v>
      </c>
      <c r="P74" s="1" t="n">
        <f aca="false">DAY(A74)</f>
        <v>30</v>
      </c>
    </row>
    <row r="75" customFormat="false" ht="13.5" hidden="false" customHeight="true" outlineLevel="0" collapsed="false">
      <c r="A75" s="83"/>
      <c r="G75" s="2" t="n">
        <v>0</v>
      </c>
      <c r="H75" s="2" t="n">
        <v>0</v>
      </c>
      <c r="M75" s="77" t="s">
        <v>74</v>
      </c>
      <c r="P75" s="1" t="n">
        <f aca="false">DAY(A75)</f>
        <v>30</v>
      </c>
    </row>
    <row r="76" customFormat="false" ht="13.5" hidden="false" customHeight="true" outlineLevel="0" collapsed="false">
      <c r="A76" s="83"/>
      <c r="G76" s="2" t="n">
        <v>0</v>
      </c>
      <c r="H76" s="2" t="n">
        <v>0</v>
      </c>
      <c r="M76" s="77" t="s">
        <v>74</v>
      </c>
      <c r="P76" s="1" t="n">
        <f aca="false">DAY(A76)</f>
        <v>30</v>
      </c>
    </row>
    <row r="77" customFormat="false" ht="13.5" hidden="false" customHeight="true" outlineLevel="0" collapsed="false">
      <c r="A77" s="83"/>
      <c r="G77" s="2" t="n">
        <v>0</v>
      </c>
      <c r="H77" s="2" t="n">
        <v>0</v>
      </c>
      <c r="M77" s="77" t="s">
        <v>74</v>
      </c>
      <c r="P77" s="1" t="n">
        <f aca="false">DAY(A77)</f>
        <v>30</v>
      </c>
    </row>
    <row r="78" customFormat="false" ht="13.5" hidden="false" customHeight="true" outlineLevel="0" collapsed="false">
      <c r="A78" s="83"/>
      <c r="G78" s="2" t="n">
        <v>0</v>
      </c>
      <c r="H78" s="2" t="n">
        <v>0</v>
      </c>
      <c r="M78" s="77" t="s">
        <v>74</v>
      </c>
      <c r="P78" s="1" t="n">
        <f aca="false">DAY(A78)</f>
        <v>30</v>
      </c>
    </row>
    <row r="79" customFormat="false" ht="13.5" hidden="false" customHeight="true" outlineLevel="0" collapsed="false">
      <c r="A79" s="83"/>
      <c r="G79" s="2" t="n">
        <v>0</v>
      </c>
      <c r="H79" s="2" t="n">
        <v>0</v>
      </c>
      <c r="M79" s="77" t="s">
        <v>74</v>
      </c>
      <c r="P79" s="1" t="n">
        <f aca="false">DAY(A79)</f>
        <v>30</v>
      </c>
    </row>
    <row r="80" customFormat="false" ht="13.5" hidden="false" customHeight="true" outlineLevel="0" collapsed="false">
      <c r="A80" s="83"/>
      <c r="G80" s="2" t="n">
        <v>0</v>
      </c>
      <c r="H80" s="2" t="n">
        <v>0</v>
      </c>
      <c r="M80" s="77" t="s">
        <v>74</v>
      </c>
      <c r="P80" s="1" t="n">
        <f aca="false">DAY(A80)</f>
        <v>30</v>
      </c>
    </row>
    <row r="81" customFormat="false" ht="13.5" hidden="false" customHeight="true" outlineLevel="0" collapsed="false">
      <c r="A81" s="83"/>
      <c r="G81" s="2" t="n">
        <v>0</v>
      </c>
      <c r="H81" s="2" t="n">
        <v>0</v>
      </c>
      <c r="M81" s="77" t="s">
        <v>74</v>
      </c>
      <c r="P81" s="1" t="n">
        <f aca="false">DAY(A81)</f>
        <v>30</v>
      </c>
    </row>
    <row r="82" customFormat="false" ht="15" hidden="false" customHeight="true" outlineLevel="0" collapsed="false">
      <c r="A82" s="83"/>
      <c r="G82" s="2" t="n">
        <v>0</v>
      </c>
      <c r="H82" s="2" t="n">
        <v>0</v>
      </c>
      <c r="M82" s="77" t="s">
        <v>74</v>
      </c>
      <c r="P82" s="1" t="n">
        <f aca="false">DAY(A82)</f>
        <v>30</v>
      </c>
    </row>
    <row r="83" customFormat="false" ht="15" hidden="false" customHeight="true" outlineLevel="0" collapsed="false">
      <c r="A83" s="83"/>
      <c r="G83" s="2" t="n">
        <v>0</v>
      </c>
      <c r="H83" s="2" t="n">
        <v>0</v>
      </c>
      <c r="M83" s="77" t="s">
        <v>74</v>
      </c>
      <c r="P83" s="1" t="n">
        <f aca="false">DAY(A83)</f>
        <v>30</v>
      </c>
    </row>
    <row r="84" customFormat="false" ht="15" hidden="false" customHeight="true" outlineLevel="0" collapsed="false">
      <c r="A84" s="83"/>
      <c r="G84" s="2" t="n">
        <v>0</v>
      </c>
      <c r="H84" s="2" t="n">
        <v>0</v>
      </c>
      <c r="M84" s="77" t="s">
        <v>74</v>
      </c>
      <c r="P84" s="1" t="n">
        <f aca="false">DAY(A84)</f>
        <v>30</v>
      </c>
    </row>
    <row r="85" customFormat="false" ht="15" hidden="false" customHeight="true" outlineLevel="0" collapsed="false">
      <c r="A85" s="83"/>
      <c r="G85" s="2" t="n">
        <v>0</v>
      </c>
      <c r="H85" s="2" t="n">
        <v>0</v>
      </c>
      <c r="M85" s="77" t="s">
        <v>74</v>
      </c>
      <c r="P85" s="1" t="n">
        <f aca="false">DAY(A85)</f>
        <v>30</v>
      </c>
    </row>
    <row r="86" customFormat="false" ht="15" hidden="false" customHeight="true" outlineLevel="0" collapsed="false">
      <c r="A86" s="83"/>
      <c r="G86" s="2" t="n">
        <v>0</v>
      </c>
      <c r="H86" s="2" t="n">
        <v>0</v>
      </c>
      <c r="M86" s="77" t="s">
        <v>74</v>
      </c>
      <c r="P86" s="1" t="n">
        <f aca="false">DAY(A86)</f>
        <v>30</v>
      </c>
    </row>
    <row r="87" customFormat="false" ht="15" hidden="false" customHeight="true" outlineLevel="0" collapsed="false">
      <c r="A87" s="83"/>
      <c r="G87" s="2" t="n">
        <v>0</v>
      </c>
      <c r="H87" s="2" t="n">
        <v>0</v>
      </c>
      <c r="M87" s="77" t="s">
        <v>74</v>
      </c>
      <c r="P87" s="1" t="n">
        <f aca="false">DAY(A87)</f>
        <v>30</v>
      </c>
    </row>
    <row r="88" customFormat="false" ht="15" hidden="false" customHeight="true" outlineLevel="0" collapsed="false">
      <c r="A88" s="83"/>
      <c r="G88" s="2" t="n">
        <f aca="false">IF(L88="No",0,IF(AND(L88="Si",M88="Si"),(I88-(E88+F88))/2,IF(L88="Si",(I88-(E88+F88)),0)))</f>
        <v>0</v>
      </c>
      <c r="H88" s="2" t="n">
        <f aca="false">IF(M88="No",0,IF(AND(L88="Si",M88="Si"),(I88-(E88+F88))/2,IF(M88="Si",(I88-(E88+F88)),0)))</f>
        <v>0</v>
      </c>
      <c r="M88" s="77" t="s">
        <v>74</v>
      </c>
      <c r="P88" s="1" t="n">
        <f aca="false">DAY(A88)</f>
        <v>30</v>
      </c>
    </row>
    <row r="89" customFormat="false" ht="15" hidden="false" customHeight="true" outlineLevel="0" collapsed="false">
      <c r="A89" s="83"/>
      <c r="G89" s="2" t="n">
        <f aca="false">IF(L89="No",0,IF(AND(L89="Si",M89="Si"),(I89-(E89+F89))/2,IF(L89="Si",(I89-(E89+F89)),0)))</f>
        <v>0</v>
      </c>
      <c r="H89" s="2" t="n">
        <f aca="false">IF(M89="No",0,IF(AND(L89="Si",M89="Si"),(I89-(E89+F89))/2,IF(M89="Si",(I89-(E89+F89)),0)))</f>
        <v>0</v>
      </c>
      <c r="M89" s="77" t="s">
        <v>74</v>
      </c>
      <c r="P89" s="1" t="n">
        <f aca="false">DAY(A89)</f>
        <v>30</v>
      </c>
    </row>
    <row r="90" customFormat="false" ht="15" hidden="false" customHeight="true" outlineLevel="0" collapsed="false">
      <c r="A90" s="83"/>
      <c r="G90" s="2" t="n">
        <f aca="false">IF(L90="No",0,IF(AND(L90="Si",M90="Si"),(I90-(E90+F90))/2,IF(L90="Si",(I90-(E90+F90)),0)))</f>
        <v>0</v>
      </c>
      <c r="H90" s="2" t="n">
        <f aca="false">IF(M90="No",0,IF(AND(L90="Si",M90="Si"),(I90-(E90+F90))/2,IF(M90="Si",(I90-(E90+F90)),0)))</f>
        <v>0</v>
      </c>
      <c r="M90" s="77" t="s">
        <v>74</v>
      </c>
      <c r="P90" s="1" t="n">
        <f aca="false">DAY(A90)</f>
        <v>30</v>
      </c>
    </row>
    <row r="91" customFormat="false" ht="15" hidden="false" customHeight="true" outlineLevel="0" collapsed="false">
      <c r="A91" s="83"/>
      <c r="G91" s="2" t="n">
        <f aca="false">IF(L91="No",0,IF(AND(L91="Si",M91="Si"),(I91-(E91+F91))/2,IF(L91="Si",(I91-(E91+F91)),0)))</f>
        <v>0</v>
      </c>
      <c r="H91" s="2" t="n">
        <f aca="false">IF(M91="No",0,IF(AND(L91="Si",M91="Si"),(I91-(E91+F91))/2,IF(M91="Si",(I91-(E91+F91)),0)))</f>
        <v>0</v>
      </c>
      <c r="M91" s="77" t="s">
        <v>74</v>
      </c>
      <c r="P91" s="1" t="n">
        <f aca="false">DAY(A91)</f>
        <v>30</v>
      </c>
    </row>
    <row r="92" customFormat="false" ht="15" hidden="false" customHeight="true" outlineLevel="0" collapsed="false">
      <c r="A92" s="83"/>
      <c r="G92" s="2" t="n">
        <f aca="false">IF(L92="No",0,IF(AND(L92="Si",M92="Si"),(I92-(E92+F92))/2,IF(L92="Si",(I92-(E92+F92)),0)))</f>
        <v>0</v>
      </c>
      <c r="H92" s="2" t="n">
        <f aca="false">IF(M92="No",0,IF(AND(L92="Si",M92="Si"),(I92-(E92+F92))/2,IF(M92="Si",(I92-(E92+F92)),0)))</f>
        <v>0</v>
      </c>
      <c r="M92" s="77" t="s">
        <v>74</v>
      </c>
      <c r="P92" s="1" t="n">
        <f aca="false">DAY(A92)</f>
        <v>30</v>
      </c>
    </row>
    <row r="93" customFormat="false" ht="15" hidden="false" customHeight="true" outlineLevel="0" collapsed="false">
      <c r="A93" s="83"/>
      <c r="G93" s="2" t="n">
        <f aca="false">IF(L93="No",0,IF(AND(L93="Si",M93="Si"),(I93-(E93+F93))/2,IF(L93="Si",(I93-(E93+F93)),0)))</f>
        <v>0</v>
      </c>
      <c r="H93" s="2" t="n">
        <f aca="false">IF(M93="No",0,IF(AND(L93="Si",M93="Si"),(I93-(E93+F93))/2,IF(M93="Si",(I93-(E93+F93)),0)))</f>
        <v>0</v>
      </c>
      <c r="M93" s="77" t="s">
        <v>74</v>
      </c>
      <c r="P93" s="1" t="n">
        <f aca="false">DAY(A93)</f>
        <v>30</v>
      </c>
    </row>
    <row r="94" customFormat="false" ht="15" hidden="false" customHeight="true" outlineLevel="0" collapsed="false">
      <c r="A94" s="83"/>
      <c r="G94" s="2" t="n">
        <f aca="false">IF(L94="No",0,IF(AND(L94="Si",M94="Si"),(I94-(E94+F94))/2,IF(L94="Si",(I94-(E94+F94)),0)))</f>
        <v>0</v>
      </c>
      <c r="H94" s="2" t="n">
        <f aca="false">IF(M94="No",0,IF(AND(L94="Si",M94="Si"),(I94-(E94+F94))/2,IF(M94="Si",(I94-(E94+F94)),0)))</f>
        <v>0</v>
      </c>
      <c r="M94" s="77" t="s">
        <v>74</v>
      </c>
      <c r="P94" s="1" t="n">
        <f aca="false">DAY(A94)</f>
        <v>30</v>
      </c>
    </row>
    <row r="95" customFormat="false" ht="15" hidden="false" customHeight="true" outlineLevel="0" collapsed="false">
      <c r="A95" s="83"/>
      <c r="G95" s="2" t="n">
        <f aca="false">IF(L95="No",0,IF(AND(L95="Si",M95="Si"),(I95-(E95+F95))/2,IF(L95="Si",(I95-(E95+F95)),0)))</f>
        <v>0</v>
      </c>
      <c r="H95" s="2" t="n">
        <f aca="false">IF(M95="No",0,IF(AND(L95="Si",M95="Si"),(I95-(E95+F95))/2,IF(M95="Si",(I95-(E95+F95)),0)))</f>
        <v>0</v>
      </c>
      <c r="M95" s="77" t="s">
        <v>74</v>
      </c>
      <c r="P95" s="1" t="n">
        <f aca="false">DAY(A95)</f>
        <v>30</v>
      </c>
    </row>
    <row r="96" customFormat="false" ht="15" hidden="false" customHeight="true" outlineLevel="0" collapsed="false">
      <c r="A96" s="83"/>
      <c r="G96" s="2" t="n">
        <f aca="false">IF(L96="No",0,IF(AND(L96="Si",M96="Si"),(I96-(E96+F96))/2,IF(L96="Si",(I96-(E96+F96)),0)))</f>
        <v>0</v>
      </c>
      <c r="H96" s="2" t="n">
        <f aca="false">IF(M96="No",0,IF(AND(L96="Si",M96="Si"),(I96-(E96+F96))/2,IF(M96="Si",(I96-(E96+F96)),0)))</f>
        <v>0</v>
      </c>
      <c r="M96" s="77" t="s">
        <v>74</v>
      </c>
      <c r="P96" s="1" t="n">
        <f aca="false">DAY(A96)</f>
        <v>30</v>
      </c>
    </row>
    <row r="97" customFormat="false" ht="15" hidden="false" customHeight="true" outlineLevel="0" collapsed="false">
      <c r="A97" s="83"/>
      <c r="G97" s="2" t="n">
        <f aca="false">IF(L97="No",0,IF(AND(L97="Si",M97="Si"),(I97-(E97+F97))/2,IF(L97="Si",(I97-(E97+F97)),0)))</f>
        <v>0</v>
      </c>
      <c r="H97" s="2" t="n">
        <f aca="false">IF(M97="No",0,IF(AND(L97="Si",M97="Si"),(I97-(E97+F97))/2,IF(M97="Si",(I97-(E97+F97)),0)))</f>
        <v>0</v>
      </c>
      <c r="M97" s="77" t="s">
        <v>74</v>
      </c>
      <c r="P97" s="1" t="n">
        <f aca="false">DAY(A97)</f>
        <v>30</v>
      </c>
    </row>
    <row r="98" customFormat="false" ht="15" hidden="false" customHeight="true" outlineLevel="0" collapsed="false">
      <c r="A98" s="83"/>
      <c r="G98" s="2" t="n">
        <f aca="false">IF(L98="No",0,IF(AND(L98="Si",M98="Si"),(I98-(E98+F98))/2,IF(L98="Si",(I98-(E98+F98)),0)))</f>
        <v>0</v>
      </c>
      <c r="H98" s="2" t="n">
        <f aca="false">IF(M98="No",0,IF(AND(L98="Si",M98="Si"),(I98-(E98+F98))/2,IF(M98="Si",(I98-(E98+F98)),0)))</f>
        <v>0</v>
      </c>
      <c r="M98" s="77" t="s">
        <v>74</v>
      </c>
      <c r="P98" s="1" t="n">
        <f aca="false">DAY(A98)</f>
        <v>30</v>
      </c>
    </row>
    <row r="99" customFormat="false" ht="15" hidden="false" customHeight="true" outlineLevel="0" collapsed="false">
      <c r="A99" s="83"/>
      <c r="G99" s="2" t="n">
        <f aca="false">IF(L99="No",0,IF(AND(L99="Si",M99="Si"),(I99-(E99+F99))/2,IF(L99="Si",(I99-(E99+F99)),0)))</f>
        <v>0</v>
      </c>
      <c r="H99" s="2" t="n">
        <f aca="false">IF(M99="No",0,IF(AND(L99="Si",M99="Si"),(I99-(E99+F99))/2,IF(M99="Si",(I99-(E99+F99)),0)))</f>
        <v>0</v>
      </c>
      <c r="M99" s="77" t="s">
        <v>74</v>
      </c>
      <c r="P99" s="1" t="n">
        <f aca="false">DAY(A99)</f>
        <v>30</v>
      </c>
    </row>
    <row r="100" customFormat="false" ht="15" hidden="false" customHeight="true" outlineLevel="0" collapsed="false">
      <c r="A100" s="83"/>
      <c r="G100" s="2" t="n">
        <f aca="false">IF(L100="No",0,IF(AND(L100="Si",M100="Si"),(I100-(E100+F100))/2,IF(L100="Si",(I100-(E100+F100)),0)))</f>
        <v>0</v>
      </c>
      <c r="H100" s="2" t="n">
        <f aca="false">IF(M100="No",0,IF(AND(L100="Si",M100="Si"),(I100-(E100+F100))/2,IF(M100="Si",(I100-(E100+F100)),0)))</f>
        <v>0</v>
      </c>
      <c r="M100" s="77" t="s">
        <v>74</v>
      </c>
      <c r="P100" s="1" t="n">
        <f aca="false">DAY(A100)</f>
        <v>30</v>
      </c>
    </row>
    <row r="101" customFormat="false" ht="15" hidden="false" customHeight="true" outlineLevel="0" collapsed="false">
      <c r="A101" s="83"/>
      <c r="G101" s="2" t="n">
        <f aca="false">IF(L101="No",0,IF(AND(L101="Si",M101="Si"),(I101-(E101+F101))/2,IF(L101="Si",(I101-(E101+F101)),0)))</f>
        <v>0</v>
      </c>
      <c r="H101" s="2" t="n">
        <f aca="false">IF(M101="No",0,IF(AND(L101="Si",M101="Si"),(I101-(E101+F101))/2,IF(M101="Si",(I101-(E101+F101)),0)))</f>
        <v>0</v>
      </c>
      <c r="M101" s="77" t="s">
        <v>74</v>
      </c>
      <c r="P101" s="1" t="n">
        <f aca="false">DAY(A101)</f>
        <v>30</v>
      </c>
    </row>
    <row r="102" customFormat="false" ht="15" hidden="false" customHeight="true" outlineLevel="0" collapsed="false">
      <c r="A102" s="83"/>
      <c r="G102" s="2" t="n">
        <f aca="false">IF(L102="No",0,IF(AND(L102="Si",M102="Si"),(I102-(E102+F102))/2,IF(L102="Si",(I102-(E102+F102)),0)))</f>
        <v>0</v>
      </c>
      <c r="H102" s="2" t="n">
        <f aca="false">IF(M102="No",0,IF(AND(L102="Si",M102="Si"),(I102-(E102+F102))/2,IF(M102="Si",(I102-(E102+F102)),0)))</f>
        <v>0</v>
      </c>
      <c r="M102" s="77" t="s">
        <v>74</v>
      </c>
      <c r="P102" s="1" t="n">
        <f aca="false">DAY(A102)</f>
        <v>30</v>
      </c>
    </row>
    <row r="103" customFormat="false" ht="15" hidden="false" customHeight="true" outlineLevel="0" collapsed="false">
      <c r="A103" s="83"/>
      <c r="G103" s="2" t="n">
        <f aca="false">IF(L103="No",0,IF(AND(L103="Si",M103="Si"),(I103-(E103+F103))/2,IF(L103="Si",(I103-(E103+F103)),0)))</f>
        <v>0</v>
      </c>
      <c r="H103" s="2" t="n">
        <f aca="false">IF(M103="No",0,IF(AND(L103="Si",M103="Si"),(I103-(E103+F103))/2,IF(M103="Si",(I103-(E103+F103)),0)))</f>
        <v>0</v>
      </c>
      <c r="M103" s="77" t="s">
        <v>74</v>
      </c>
      <c r="P103" s="1" t="n">
        <f aca="false">DAY(A103)</f>
        <v>30</v>
      </c>
    </row>
    <row r="104" customFormat="false" ht="15" hidden="false" customHeight="true" outlineLevel="0" collapsed="false">
      <c r="A104" s="83"/>
      <c r="G104" s="2" t="n">
        <f aca="false">IF(L104="No",0,IF(AND(L104="Si",M104="Si"),(I104-(E104+F104))/2,IF(L104="Si",(I104-(E104+F104)),0)))</f>
        <v>0</v>
      </c>
      <c r="H104" s="2" t="n">
        <f aca="false">IF(M104="No",0,IF(AND(L104="Si",M104="Si"),(I104-(E104+F104))/2,IF(M104="Si",(I104-(E104+F104)),0)))</f>
        <v>0</v>
      </c>
      <c r="M104" s="77" t="s">
        <v>74</v>
      </c>
      <c r="P104" s="1" t="n">
        <f aca="false">DAY(A104)</f>
        <v>30</v>
      </c>
    </row>
    <row r="105" customFormat="false" ht="15" hidden="false" customHeight="true" outlineLevel="0" collapsed="false">
      <c r="A105" s="83"/>
      <c r="G105" s="2" t="n">
        <f aca="false">IF(L105="No",0,IF(AND(L105="Si",M105="Si"),(I105-(E105+F105))/2,IF(L105="Si",(I105-(E105+F105)),0)))</f>
        <v>0</v>
      </c>
      <c r="H105" s="2" t="n">
        <f aca="false">IF(M105="No",0,IF(AND(L105="Si",M105="Si"),(I105-(E105+F105))/2,IF(M105="Si",(I105-(E105+F105)),0)))</f>
        <v>0</v>
      </c>
      <c r="M105" s="77" t="s">
        <v>74</v>
      </c>
      <c r="P105" s="1" t="n">
        <f aca="false">DAY(A105)</f>
        <v>30</v>
      </c>
    </row>
    <row r="106" customFormat="false" ht="15" hidden="false" customHeight="true" outlineLevel="0" collapsed="false">
      <c r="A106" s="83"/>
      <c r="G106" s="2" t="n">
        <f aca="false">IF(L106="No",0,IF(AND(L106="Si",M106="Si"),(I106-(E106+F106))/2,IF(L106="Si",(I106-(E106+F106)),0)))</f>
        <v>0</v>
      </c>
      <c r="H106" s="2" t="n">
        <f aca="false">IF(M106="No",0,IF(AND(L106="Si",M106="Si"),(I106-(E106+F106))/2,IF(M106="Si",(I106-(E106+F106)),0)))</f>
        <v>0</v>
      </c>
      <c r="M106" s="77" t="s">
        <v>74</v>
      </c>
      <c r="P106" s="1" t="n">
        <f aca="false">DAY(A106)</f>
        <v>30</v>
      </c>
    </row>
    <row r="107" customFormat="false" ht="15" hidden="false" customHeight="true" outlineLevel="0" collapsed="false">
      <c r="A107" s="83"/>
      <c r="G107" s="2" t="n">
        <f aca="false">IF(L107="No",0,IF(AND(L107="Si",M107="Si"),(I107-(E107+F107))/2,IF(L107="Si",(I107-(E107+F107)),0)))</f>
        <v>0</v>
      </c>
      <c r="H107" s="2" t="n">
        <f aca="false">IF(M107="No",0,IF(AND(L107="Si",M107="Si"),(I107-(E107+F107))/2,IF(M107="Si",(I107-(E107+F107)),0)))</f>
        <v>0</v>
      </c>
      <c r="M107" s="77" t="s">
        <v>74</v>
      </c>
      <c r="P107" s="1" t="n">
        <f aca="false">DAY(A107)</f>
        <v>30</v>
      </c>
    </row>
    <row r="108" customFormat="false" ht="15" hidden="false" customHeight="true" outlineLevel="0" collapsed="false">
      <c r="A108" s="83"/>
      <c r="G108" s="2" t="n">
        <f aca="false">IF(L108="No",0,IF(AND(L108="Si",M108="Si"),(I108-(E108+F108))/2,IF(L108="Si",(I108-(E108+F108)),0)))</f>
        <v>0</v>
      </c>
      <c r="H108" s="2" t="n">
        <f aca="false">IF(M108="No",0,IF(AND(L108="Si",M108="Si"),(I108-(E108+F108))/2,IF(M108="Si",(I108-(E108+F108)),0)))</f>
        <v>0</v>
      </c>
      <c r="M108" s="77" t="s">
        <v>74</v>
      </c>
      <c r="P108" s="1" t="n">
        <f aca="false">DAY(A108)</f>
        <v>30</v>
      </c>
    </row>
    <row r="109" customFormat="false" ht="15" hidden="false" customHeight="true" outlineLevel="0" collapsed="false">
      <c r="A109" s="83"/>
      <c r="G109" s="2" t="n">
        <f aca="false">IF(L109="No",0,IF(AND(L109="Si",M109="Si"),(I109-(E109+F109))/2,IF(L109="Si",(I109-(E109+F109)),0)))</f>
        <v>0</v>
      </c>
      <c r="H109" s="2" t="n">
        <f aca="false">IF(M109="No",0,IF(AND(L109="Si",M109="Si"),(I109-(E109+F109))/2,IF(M109="Si",(I109-(E109+F109)),0)))</f>
        <v>0</v>
      </c>
      <c r="M109" s="77" t="s">
        <v>74</v>
      </c>
      <c r="P109" s="1" t="n">
        <f aca="false">DAY(A109)</f>
        <v>30</v>
      </c>
    </row>
    <row r="110" customFormat="false" ht="15" hidden="false" customHeight="true" outlineLevel="0" collapsed="false">
      <c r="A110" s="83"/>
      <c r="G110" s="2" t="n">
        <f aca="false">IF(L110="No",0,IF(AND(L110="Si",M110="Si"),(I110-(E110+F110))/2,IF(L110="Si",(I110-(E110+F110)),0)))</f>
        <v>0</v>
      </c>
      <c r="H110" s="2" t="n">
        <f aca="false">IF(M110="No",0,IF(AND(L110="Si",M110="Si"),(I110-(E110+F110))/2,IF(M110="Si",(I110-(E110+F110)),0)))</f>
        <v>0</v>
      </c>
      <c r="M110" s="77" t="s">
        <v>74</v>
      </c>
      <c r="P110" s="1" t="n">
        <f aca="false">DAY(A110)</f>
        <v>30</v>
      </c>
    </row>
    <row r="111" customFormat="false" ht="15" hidden="false" customHeight="true" outlineLevel="0" collapsed="false">
      <c r="A111" s="83"/>
      <c r="G111" s="2" t="n">
        <f aca="false">IF(L111="No",0,IF(AND(L111="Si",M111="Si"),(I111-(E111+F111))/2,IF(L111="Si",(I111-(E111+F111)),0)))</f>
        <v>0</v>
      </c>
      <c r="H111" s="2" t="n">
        <f aca="false">IF(M111="No",0,IF(AND(L111="Si",M111="Si"),(I111-(E111+F111))/2,IF(M111="Si",(I111-(E111+F111)),0)))</f>
        <v>0</v>
      </c>
      <c r="M111" s="77" t="s">
        <v>74</v>
      </c>
      <c r="P111" s="1" t="n">
        <f aca="false">DAY(A111)</f>
        <v>30</v>
      </c>
    </row>
    <row r="112" customFormat="false" ht="15" hidden="false" customHeight="true" outlineLevel="0" collapsed="false">
      <c r="A112" s="83"/>
      <c r="G112" s="2" t="n">
        <f aca="false">IF(L112="No",0,IF(AND(L112="Si",M112="Si"),(I112-(E112+F112))/2,IF(L112="Si",(I112-(E112+F112)),0)))</f>
        <v>0</v>
      </c>
      <c r="H112" s="2" t="n">
        <f aca="false">IF(M112="No",0,IF(AND(L112="Si",M112="Si"),(I112-(E112+F112))/2,IF(M112="Si",(I112-(E112+F112)),0)))</f>
        <v>0</v>
      </c>
      <c r="M112" s="77" t="s">
        <v>74</v>
      </c>
      <c r="P112" s="1" t="n">
        <f aca="false">DAY(A112)</f>
        <v>30</v>
      </c>
    </row>
    <row r="113" customFormat="false" ht="15" hidden="false" customHeight="true" outlineLevel="0" collapsed="false">
      <c r="A113" s="83"/>
      <c r="G113" s="2" t="n">
        <f aca="false">IF(L113="No",0,IF(AND(L113="Si",M113="Si"),(I113-(E113+F113))/2,IF(L113="Si",(I113-(E113+F113)),0)))</f>
        <v>0</v>
      </c>
      <c r="H113" s="2" t="n">
        <f aca="false">IF(M113="No",0,IF(AND(L113="Si",M113="Si"),(I113-(E113+F113))/2,IF(M113="Si",(I113-(E113+F113)),0)))</f>
        <v>0</v>
      </c>
      <c r="M113" s="77" t="s">
        <v>74</v>
      </c>
      <c r="P113" s="1" t="n">
        <f aca="false">DAY(A113)</f>
        <v>30</v>
      </c>
    </row>
    <row r="114" customFormat="false" ht="15" hidden="false" customHeight="true" outlineLevel="0" collapsed="false">
      <c r="A114" s="83"/>
      <c r="G114" s="2" t="n">
        <f aca="false">IF(L114="No",0,IF(AND(L114="Si",M114="Si"),(I114-(E114+F114))/2,IF(L114="Si",(I114-(E114+F114)),0)))</f>
        <v>0</v>
      </c>
      <c r="H114" s="2" t="n">
        <f aca="false">IF(M114="No",0,IF(AND(L114="Si",M114="Si"),(I114-(E114+F114))/2,IF(M114="Si",(I114-(E114+F114)),0)))</f>
        <v>0</v>
      </c>
      <c r="M114" s="77" t="s">
        <v>74</v>
      </c>
      <c r="P114" s="1" t="n">
        <f aca="false">DAY(A114)</f>
        <v>30</v>
      </c>
    </row>
    <row r="115" customFormat="false" ht="15" hidden="false" customHeight="true" outlineLevel="0" collapsed="false">
      <c r="A115" s="83"/>
      <c r="G115" s="2" t="n">
        <f aca="false">IF(L115="No",0,IF(AND(L115="Si",M115="Si"),(I115-(E115+F115))/2,IF(L115="Si",(I115-(E115+F115)),0)))</f>
        <v>0</v>
      </c>
      <c r="H115" s="2" t="n">
        <f aca="false">IF(M115="No",0,IF(AND(L115="Si",M115="Si"),(I115-(E115+F115))/2,IF(M115="Si",(I115-(E115+F115)),0)))</f>
        <v>0</v>
      </c>
      <c r="M115" s="77" t="s">
        <v>74</v>
      </c>
      <c r="P115" s="1" t="n">
        <f aca="false">DAY(A115)</f>
        <v>30</v>
      </c>
    </row>
    <row r="116" customFormat="false" ht="15" hidden="false" customHeight="true" outlineLevel="0" collapsed="false">
      <c r="A116" s="83"/>
      <c r="G116" s="2" t="n">
        <f aca="false">IF(L116="No",0,IF(AND(L116="Si",M116="Si"),(I116-(E116+F116))/2,IF(L116="Si",(I116-(E116+F116)),0)))</f>
        <v>0</v>
      </c>
      <c r="H116" s="2" t="n">
        <f aca="false">IF(M116="No",0,IF(AND(L116="Si",M116="Si"),(I116-(E116+F116))/2,IF(M116="Si",(I116-(E116+F116)),0)))</f>
        <v>0</v>
      </c>
      <c r="M116" s="77" t="s">
        <v>74</v>
      </c>
      <c r="P116" s="1" t="n">
        <f aca="false">DAY(A116)</f>
        <v>30</v>
      </c>
    </row>
    <row r="117" customFormat="false" ht="15" hidden="false" customHeight="true" outlineLevel="0" collapsed="false">
      <c r="A117" s="83"/>
      <c r="G117" s="2" t="n">
        <f aca="false">IF(L117="No",0,IF(AND(L117="Si",M117="Si"),(I117-(E117+F117))/2,IF(L117="Si",(I117-(E117+F117)),0)))</f>
        <v>0</v>
      </c>
      <c r="H117" s="2" t="n">
        <f aca="false">IF(M117="No",0,IF(AND(L117="Si",M117="Si"),(I117-(E117+F117))/2,IF(M117="Si",(I117-(E117+F117)),0)))</f>
        <v>0</v>
      </c>
      <c r="M117" s="77" t="s">
        <v>74</v>
      </c>
      <c r="P117" s="1" t="n">
        <f aca="false">DAY(A117)</f>
        <v>30</v>
      </c>
    </row>
    <row r="118" customFormat="false" ht="15" hidden="false" customHeight="true" outlineLevel="0" collapsed="false">
      <c r="A118" s="83"/>
      <c r="G118" s="2" t="n">
        <f aca="false">IF(L118="No",0,IF(AND(L118="Si",M118="Si"),(I118-(E118+F118))/2,IF(L118="Si",(I118-(E118+F118)),0)))</f>
        <v>0</v>
      </c>
      <c r="H118" s="2" t="n">
        <f aca="false">IF(M118="No",0,IF(AND(L118="Si",M118="Si"),(I118-(E118+F118))/2,IF(M118="Si",(I118-(E118+F118)),0)))</f>
        <v>0</v>
      </c>
      <c r="M118" s="77" t="s">
        <v>74</v>
      </c>
      <c r="P118" s="1" t="n">
        <f aca="false">DAY(A118)</f>
        <v>30</v>
      </c>
    </row>
    <row r="119" customFormat="false" ht="15" hidden="false" customHeight="true" outlineLevel="0" collapsed="false">
      <c r="A119" s="83"/>
      <c r="G119" s="2" t="n">
        <f aca="false">IF(L119="No",0,IF(AND(L119="Si",M119="Si"),(I119-(E119+F119))/2,IF(L119="Si",(I119-(E119+F119)),0)))</f>
        <v>0</v>
      </c>
      <c r="H119" s="2" t="n">
        <f aca="false">IF(M119="No",0,IF(AND(L119="Si",M119="Si"),(I119-(E119+F119))/2,IF(M119="Si",(I119-(E119+F119)),0)))</f>
        <v>0</v>
      </c>
      <c r="M119" s="77" t="s">
        <v>74</v>
      </c>
      <c r="P119" s="1" t="n">
        <f aca="false">DAY(A119)</f>
        <v>30</v>
      </c>
    </row>
    <row r="120" customFormat="false" ht="15" hidden="false" customHeight="true" outlineLevel="0" collapsed="false">
      <c r="A120" s="83"/>
      <c r="G120" s="2" t="n">
        <f aca="false">IF(L120="No",0,IF(AND(L120="Si",M120="Si"),(I120-(E120+F120))/2,IF(L120="Si",(I120-(E120+F120)),0)))</f>
        <v>0</v>
      </c>
      <c r="H120" s="2" t="n">
        <f aca="false">IF(M120="No",0,IF(AND(L120="Si",M120="Si"),(I120-(E120+F120))/2,IF(M120="Si",(I120-(E120+F120)),0)))</f>
        <v>0</v>
      </c>
      <c r="M120" s="77" t="s">
        <v>74</v>
      </c>
      <c r="P120" s="1" t="n">
        <f aca="false">DAY(A120)</f>
        <v>30</v>
      </c>
    </row>
    <row r="121" customFormat="false" ht="15" hidden="false" customHeight="true" outlineLevel="0" collapsed="false">
      <c r="A121" s="83"/>
      <c r="G121" s="2" t="n">
        <f aca="false">IF(L121="No",0,IF(AND(L121="Si",M121="Si"),(I121-(E121+F121))/2,IF(L121="Si",(I121-(E121+F121)),0)))</f>
        <v>0</v>
      </c>
      <c r="H121" s="2" t="n">
        <f aca="false">IF(M121="No",0,IF(AND(L121="Si",M121="Si"),(I121-(E121+F121))/2,IF(M121="Si",(I121-(E121+F121)),0)))</f>
        <v>0</v>
      </c>
      <c r="M121" s="77" t="s">
        <v>74</v>
      </c>
      <c r="P121" s="1" t="n">
        <f aca="false">DAY(A121)</f>
        <v>30</v>
      </c>
    </row>
    <row r="122" customFormat="false" ht="15" hidden="false" customHeight="true" outlineLevel="0" collapsed="false">
      <c r="A122" s="83"/>
      <c r="G122" s="2" t="n">
        <f aca="false">IF(L122="No",0,IF(AND(L122="Si",M122="Si"),(I122-(E122+F122))/2,IF(L122="Si",(I122-(E122+F122)),0)))</f>
        <v>0</v>
      </c>
      <c r="H122" s="2" t="n">
        <f aca="false">IF(M122="No",0,IF(AND(L122="Si",M122="Si"),(I122-(E122+F122))/2,IF(M122="Si",(I122-(E122+F122)),0)))</f>
        <v>0</v>
      </c>
      <c r="M122" s="77" t="s">
        <v>74</v>
      </c>
      <c r="P122" s="1" t="n">
        <f aca="false">DAY(A122)</f>
        <v>30</v>
      </c>
    </row>
    <row r="123" customFormat="false" ht="15" hidden="false" customHeight="true" outlineLevel="0" collapsed="false">
      <c r="A123" s="83"/>
      <c r="G123" s="2" t="n">
        <f aca="false">IF(L123="No",0,IF(AND(L123="Si",M123="Si"),(I123-(E123+F123))/2,IF(L123="Si",(I123-(E123+F123)),0)))</f>
        <v>0</v>
      </c>
      <c r="H123" s="2" t="n">
        <f aca="false">IF(M123="No",0,IF(AND(L123="Si",M123="Si"),(I123-(E123+F123))/2,IF(M123="Si",(I123-(E123+F123)),0)))</f>
        <v>0</v>
      </c>
      <c r="M123" s="77" t="s">
        <v>74</v>
      </c>
      <c r="P123" s="1" t="n">
        <f aca="false">DAY(A123)</f>
        <v>30</v>
      </c>
    </row>
    <row r="124" customFormat="false" ht="15" hidden="false" customHeight="true" outlineLevel="0" collapsed="false">
      <c r="A124" s="83"/>
      <c r="G124" s="2" t="n">
        <f aca="false">IF(L124="No",0,IF(AND(L124="Si",M124="Si"),(I124-(E124+F124))/2,IF(L124="Si",(I124-(E124+F124)),0)))</f>
        <v>0</v>
      </c>
      <c r="H124" s="2" t="n">
        <f aca="false">IF(M124="No",0,IF(AND(L124="Si",M124="Si"),(I124-(E124+F124))/2,IF(M124="Si",(I124-(E124+F124)),0)))</f>
        <v>0</v>
      </c>
      <c r="M124" s="77" t="s">
        <v>74</v>
      </c>
      <c r="P124" s="1" t="n">
        <f aca="false">DAY(A124)</f>
        <v>30</v>
      </c>
    </row>
    <row r="125" customFormat="false" ht="15" hidden="false" customHeight="true" outlineLevel="0" collapsed="false">
      <c r="A125" s="83"/>
      <c r="G125" s="2" t="n">
        <f aca="false">IF(L125="No",0,IF(AND(L125="Si",M125="Si"),(I125-(E125+F125))/2,IF(L125="Si",(I125-(E125+F125)),0)))</f>
        <v>0</v>
      </c>
      <c r="H125" s="2" t="n">
        <f aca="false">IF(M125="No",0,IF(AND(L125="Si",M125="Si"),(I125-(E125+F125))/2,IF(M125="Si",(I125-(E125+F125)),0)))</f>
        <v>0</v>
      </c>
      <c r="M125" s="77" t="s">
        <v>74</v>
      </c>
      <c r="P125" s="1" t="n">
        <f aca="false">DAY(A125)</f>
        <v>30</v>
      </c>
    </row>
    <row r="126" customFormat="false" ht="15" hidden="false" customHeight="true" outlineLevel="0" collapsed="false">
      <c r="A126" s="83"/>
      <c r="G126" s="2" t="n">
        <f aca="false">IF(L126="No",0,IF(AND(L126="Si",M126="Si"),(I126-(E126+F126))/2,IF(L126="Si",(I126-(E126+F126)),0)))</f>
        <v>0</v>
      </c>
      <c r="H126" s="2" t="n">
        <f aca="false">IF(M126="No",0,IF(AND(L126="Si",M126="Si"),(I126-(E126+F126))/2,IF(M126="Si",(I126-(E126+F126)),0)))</f>
        <v>0</v>
      </c>
      <c r="M126" s="77" t="s">
        <v>74</v>
      </c>
      <c r="P126" s="1" t="n">
        <f aca="false">DAY(A126)</f>
        <v>30</v>
      </c>
    </row>
    <row r="127" customFormat="false" ht="15" hidden="false" customHeight="true" outlineLevel="0" collapsed="false">
      <c r="A127" s="83"/>
      <c r="G127" s="2" t="n">
        <f aca="false">IF(L127="No",0,IF(AND(L127="Si",M127="Si"),(I127-(E127+F127))/2,IF(L127="Si",(I127-(E127+F127)),0)))</f>
        <v>0</v>
      </c>
      <c r="H127" s="2" t="n">
        <f aca="false">IF(M127="No",0,IF(AND(L127="Si",M127="Si"),(I127-(E127+F127))/2,IF(M127="Si",(I127-(E127+F127)),0)))</f>
        <v>0</v>
      </c>
      <c r="M127" s="77" t="s">
        <v>74</v>
      </c>
      <c r="P127" s="1" t="n">
        <f aca="false">DAY(A127)</f>
        <v>30</v>
      </c>
    </row>
    <row r="128" customFormat="false" ht="15" hidden="false" customHeight="true" outlineLevel="0" collapsed="false">
      <c r="A128" s="83"/>
      <c r="G128" s="2" t="n">
        <f aca="false">IF(L128="No",0,IF(AND(L128="Si",M128="Si"),(I128-(E128+F128))/2,IF(L128="Si",(I128-(E128+F128)),0)))</f>
        <v>0</v>
      </c>
      <c r="H128" s="2" t="n">
        <f aca="false">IF(M128="No",0,IF(AND(L128="Si",M128="Si"),(I128-(E128+F128))/2,IF(M128="Si",(I128-(E128+F128)),0)))</f>
        <v>0</v>
      </c>
      <c r="M128" s="77" t="s">
        <v>74</v>
      </c>
      <c r="P128" s="1" t="n">
        <f aca="false">DAY(A128)</f>
        <v>30</v>
      </c>
    </row>
    <row r="129" customFormat="false" ht="15" hidden="false" customHeight="true" outlineLevel="0" collapsed="false">
      <c r="A129" s="83"/>
      <c r="G129" s="2" t="n">
        <f aca="false">IF(L129="No",0,IF(AND(L129="Si",M129="Si"),(I129-(E129+F129))/2,IF(L129="Si",(I129-(E129+F129)),0)))</f>
        <v>0</v>
      </c>
      <c r="H129" s="2" t="n">
        <f aca="false">IF(M129="No",0,IF(AND(L129="Si",M129="Si"),(I129-(E129+F129))/2,IF(M129="Si",(I129-(E129+F129)),0)))</f>
        <v>0</v>
      </c>
      <c r="M129" s="77" t="s">
        <v>74</v>
      </c>
      <c r="P129" s="1" t="n">
        <f aca="false">DAY(A129)</f>
        <v>30</v>
      </c>
    </row>
    <row r="130" customFormat="false" ht="15" hidden="false" customHeight="true" outlineLevel="0" collapsed="false">
      <c r="A130" s="83"/>
      <c r="G130" s="2" t="n">
        <f aca="false">IF(L130="No",0,IF(AND(L130="Si",M130="Si"),(I130-(E130+F130))/2,IF(L130="Si",(I130-(E130+F130)),0)))</f>
        <v>0</v>
      </c>
      <c r="H130" s="2" t="n">
        <f aca="false">IF(M130="No",0,IF(AND(L130="Si",M130="Si"),(I130-(E130+F130))/2,IF(M130="Si",(I130-(E130+F130)),0)))</f>
        <v>0</v>
      </c>
      <c r="M130" s="77" t="s">
        <v>74</v>
      </c>
      <c r="P130" s="1" t="n">
        <f aca="false">DAY(A130)</f>
        <v>30</v>
      </c>
    </row>
    <row r="131" customFormat="false" ht="15" hidden="false" customHeight="true" outlineLevel="0" collapsed="false">
      <c r="A131" s="83"/>
      <c r="G131" s="2" t="n">
        <f aca="false">IF(L131="No",0,IF(AND(L131="Si",M131="Si"),(I131-(E131+F131))/2,IF(L131="Si",(I131-(E131+F131)),0)))</f>
        <v>0</v>
      </c>
      <c r="H131" s="2" t="n">
        <f aca="false">IF(M131="No",0,IF(AND(L131="Si",M131="Si"),(I131-(E131+F131))/2,IF(M131="Si",(I131-(E131+F131)),0)))</f>
        <v>0</v>
      </c>
      <c r="M131" s="77" t="s">
        <v>74</v>
      </c>
      <c r="P131" s="1" t="n">
        <f aca="false">DAY(A131)</f>
        <v>30</v>
      </c>
    </row>
    <row r="132" customFormat="false" ht="15" hidden="false" customHeight="true" outlineLevel="0" collapsed="false">
      <c r="A132" s="83"/>
      <c r="G132" s="2" t="n">
        <f aca="false">IF(L132="No",0,IF(AND(L132="Si",M132="Si"),(I132-(E132+F132))/2,IF(L132="Si",(I132-(E132+F132)),0)))</f>
        <v>0</v>
      </c>
      <c r="H132" s="2" t="n">
        <f aca="false">IF(M132="No",0,IF(AND(L132="Si",M132="Si"),(I132-(E132+F132))/2,IF(M132="Si",(I132-(E132+F132)),0)))</f>
        <v>0</v>
      </c>
      <c r="M132" s="77" t="s">
        <v>74</v>
      </c>
      <c r="P132" s="1" t="n">
        <f aca="false">DAY(A132)</f>
        <v>30</v>
      </c>
    </row>
    <row r="133" customFormat="false" ht="15" hidden="false" customHeight="true" outlineLevel="0" collapsed="false">
      <c r="A133" s="83"/>
      <c r="G133" s="2" t="n">
        <f aca="false">IF(L133="No",0,IF(AND(L133="Si",M133="Si"),(I133-(E133+F133))/2,IF(L133="Si",(I133-(E133+F133)),0)))</f>
        <v>0</v>
      </c>
      <c r="H133" s="2" t="n">
        <f aca="false">IF(M133="No",0,IF(AND(L133="Si",M133="Si"),(I133-(E133+F133))/2,IF(M133="Si",(I133-(E133+F133)),0)))</f>
        <v>0</v>
      </c>
      <c r="M133" s="77" t="s">
        <v>74</v>
      </c>
      <c r="P133" s="1" t="n">
        <f aca="false">DAY(A133)</f>
        <v>30</v>
      </c>
    </row>
    <row r="134" customFormat="false" ht="15" hidden="false" customHeight="true" outlineLevel="0" collapsed="false">
      <c r="A134" s="83"/>
      <c r="G134" s="2" t="n">
        <f aca="false">IF(L134="No",0,IF(AND(L134="Si",M134="Si"),(I134-(E134+F134))/2,IF(L134="Si",(I134-(E134+F134)),0)))</f>
        <v>0</v>
      </c>
      <c r="H134" s="2" t="n">
        <f aca="false">IF(M134="No",0,IF(AND(L134="Si",M134="Si"),(I134-(E134+F134))/2,IF(M134="Si",(I134-(E134+F134)),0)))</f>
        <v>0</v>
      </c>
      <c r="M134" s="77" t="s">
        <v>74</v>
      </c>
      <c r="P134" s="1" t="n">
        <f aca="false">DAY(A134)</f>
        <v>30</v>
      </c>
    </row>
    <row r="135" customFormat="false" ht="15" hidden="false" customHeight="true" outlineLevel="0" collapsed="false">
      <c r="A135" s="83"/>
      <c r="G135" s="2" t="n">
        <f aca="false">IF(L135="No",0,IF(AND(L135="Si",M135="Si"),(I135-(E135+F135))/2,IF(L135="Si",(I135-(E135+F135)),0)))</f>
        <v>0</v>
      </c>
      <c r="H135" s="2" t="n">
        <f aca="false">IF(M135="No",0,IF(AND(L135="Si",M135="Si"),(I135-(E135+F135))/2,IF(M135="Si",(I135-(E135+F135)),0)))</f>
        <v>0</v>
      </c>
      <c r="M135" s="77" t="s">
        <v>74</v>
      </c>
      <c r="P135" s="1" t="n">
        <f aca="false">DAY(A135)</f>
        <v>30</v>
      </c>
    </row>
    <row r="136" customFormat="false" ht="15" hidden="false" customHeight="true" outlineLevel="0" collapsed="false">
      <c r="A136" s="83"/>
      <c r="G136" s="2" t="n">
        <f aca="false">IF(L136="No",0,IF(AND(L136="Si",M136="Si"),(I136-(E136+F136))/2,IF(L136="Si",(I136-(E136+F136)),0)))</f>
        <v>0</v>
      </c>
      <c r="H136" s="2" t="n">
        <f aca="false">IF(M136="No",0,IF(AND(L136="Si",M136="Si"),(I136-(E136+F136))/2,IF(M136="Si",(I136-(E136+F136)),0)))</f>
        <v>0</v>
      </c>
      <c r="M136" s="77" t="s">
        <v>74</v>
      </c>
      <c r="P136" s="1" t="n">
        <f aca="false">DAY(A136)</f>
        <v>30</v>
      </c>
    </row>
    <row r="137" customFormat="false" ht="15" hidden="false" customHeight="true" outlineLevel="0" collapsed="false">
      <c r="A137" s="83"/>
      <c r="G137" s="2" t="n">
        <f aca="false">IF(L137="No",0,IF(AND(L137="Si",M137="Si"),(I137-(E137+F137))/2,IF(L137="Si",(I137-(E137+F137)),0)))</f>
        <v>0</v>
      </c>
      <c r="H137" s="2" t="n">
        <f aca="false">IF(M137="No",0,IF(AND(L137="Si",M137="Si"),(I137-(E137+F137))/2,IF(M137="Si",(I137-(E137+F137)),0)))</f>
        <v>0</v>
      </c>
      <c r="M137" s="77" t="s">
        <v>74</v>
      </c>
      <c r="P137" s="1" t="n">
        <f aca="false">DAY(A137)</f>
        <v>30</v>
      </c>
    </row>
    <row r="138" customFormat="false" ht="15" hidden="false" customHeight="true" outlineLevel="0" collapsed="false">
      <c r="A138" s="83"/>
      <c r="G138" s="2" t="n">
        <f aca="false">IF(L138="No",0,IF(AND(L138="Si",M138="Si"),(I138-(E138+F138))/2,IF(L138="Si",(I138-(E138+F138)),0)))</f>
        <v>0</v>
      </c>
      <c r="H138" s="2" t="n">
        <f aca="false">IF(M138="No",0,IF(AND(L138="Si",M138="Si"),(I138-(E138+F138))/2,IF(M138="Si",(I138-(E138+F138)),0)))</f>
        <v>0</v>
      </c>
      <c r="M138" s="77" t="s">
        <v>74</v>
      </c>
      <c r="P138" s="1" t="n">
        <f aca="false">DAY(A138)</f>
        <v>30</v>
      </c>
    </row>
    <row r="139" customFormat="false" ht="15" hidden="false" customHeight="true" outlineLevel="0" collapsed="false">
      <c r="A139" s="83"/>
      <c r="G139" s="2" t="n">
        <f aca="false">IF(L139="No",0,IF(AND(L139="Si",M139="Si"),(I139-(E139+F139))/2,IF(L139="Si",(I139-(E139+F139)),0)))</f>
        <v>0</v>
      </c>
      <c r="H139" s="2" t="n">
        <f aca="false">IF(M139="No",0,IF(AND(L139="Si",M139="Si"),(I139-(E139+F139))/2,IF(M139="Si",(I139-(E139+F139)),0)))</f>
        <v>0</v>
      </c>
      <c r="M139" s="77" t="s">
        <v>74</v>
      </c>
      <c r="P139" s="1" t="n">
        <f aca="false">DAY(A139)</f>
        <v>30</v>
      </c>
    </row>
    <row r="140" customFormat="false" ht="15" hidden="false" customHeight="true" outlineLevel="0" collapsed="false">
      <c r="A140" s="83"/>
      <c r="G140" s="2" t="n">
        <f aca="false">IF(L140="No",0,IF(AND(L140="Si",M140="Si"),(I140-(E140+F140))/2,IF(L140="Si",(I140-(E140+F140)),0)))</f>
        <v>0</v>
      </c>
      <c r="H140" s="2" t="n">
        <f aca="false">IF(M140="No",0,IF(AND(L140="Si",M140="Si"),(I140-(E140+F140))/2,IF(M140="Si",(I140-(E140+F140)),0)))</f>
        <v>0</v>
      </c>
      <c r="M140" s="77" t="s">
        <v>74</v>
      </c>
      <c r="P140" s="1" t="n">
        <f aca="false">DAY(A140)</f>
        <v>30</v>
      </c>
    </row>
    <row r="141" customFormat="false" ht="15" hidden="false" customHeight="true" outlineLevel="0" collapsed="false">
      <c r="A141" s="83"/>
      <c r="G141" s="2" t="n">
        <f aca="false">IF(L141="No",0,IF(AND(L141="Si",M141="Si"),(I141-(E141+F141))/2,IF(L141="Si",(I141-(E141+F141)),0)))</f>
        <v>0</v>
      </c>
      <c r="H141" s="2" t="n">
        <f aca="false">IF(M141="No",0,IF(AND(L141="Si",M141="Si"),(I141-(E141+F141))/2,IF(M141="Si",(I141-(E141+F141)),0)))</f>
        <v>0</v>
      </c>
      <c r="M141" s="77" t="s">
        <v>74</v>
      </c>
      <c r="P141" s="1" t="n">
        <f aca="false">DAY(A141)</f>
        <v>30</v>
      </c>
    </row>
    <row r="142" customFormat="false" ht="15" hidden="false" customHeight="true" outlineLevel="0" collapsed="false">
      <c r="A142" s="83"/>
      <c r="G142" s="2" t="n">
        <f aca="false">IF(L142="No",0,IF(AND(L142="Si",M142="Si"),(I142-(E142+F142))/2,IF(L142="Si",(I142-(E142+F142)),0)))</f>
        <v>0</v>
      </c>
      <c r="H142" s="2" t="n">
        <f aca="false">IF(M142="No",0,IF(AND(L142="Si",M142="Si"),(I142-(E142+F142))/2,IF(M142="Si",(I142-(E142+F142)),0)))</f>
        <v>0</v>
      </c>
      <c r="M142" s="77" t="s">
        <v>74</v>
      </c>
      <c r="P142" s="1" t="n">
        <f aca="false">DAY(A142)</f>
        <v>30</v>
      </c>
    </row>
    <row r="143" customFormat="false" ht="15" hidden="false" customHeight="true" outlineLevel="0" collapsed="false">
      <c r="A143" s="83"/>
      <c r="G143" s="2" t="n">
        <f aca="false">IF(L143="No",0,IF(AND(L143="Si",M143="Si"),(I143-(E143+F143))/2,IF(L143="Si",(I143-(E143+F143)),0)))</f>
        <v>0</v>
      </c>
      <c r="H143" s="2" t="n">
        <f aca="false">IF(M143="No",0,IF(AND(L143="Si",M143="Si"),(I143-(E143+F143))/2,IF(M143="Si",(I143-(E143+F143)),0)))</f>
        <v>0</v>
      </c>
      <c r="M143" s="77" t="s">
        <v>74</v>
      </c>
      <c r="P143" s="1" t="n">
        <f aca="false">DAY(A143)</f>
        <v>30</v>
      </c>
    </row>
    <row r="144" customFormat="false" ht="15" hidden="false" customHeight="true" outlineLevel="0" collapsed="false">
      <c r="A144" s="83"/>
      <c r="G144" s="2" t="n">
        <f aca="false">IF(L144="No",0,IF(AND(L144="Si",M144="Si"),(I144-(E144+F144))/2,IF(L144="Si",(I144-(E144+F144)),0)))</f>
        <v>0</v>
      </c>
      <c r="H144" s="2" t="n">
        <f aca="false">IF(M144="No",0,IF(AND(L144="Si",M144="Si"),(I144-(E144+F144))/2,IF(M144="Si",(I144-(E144+F144)),0)))</f>
        <v>0</v>
      </c>
      <c r="M144" s="77" t="s">
        <v>74</v>
      </c>
      <c r="P144" s="1" t="n">
        <f aca="false">DAY(A144)</f>
        <v>30</v>
      </c>
    </row>
    <row r="145" customFormat="false" ht="15" hidden="false" customHeight="true" outlineLevel="0" collapsed="false">
      <c r="A145" s="83"/>
      <c r="G145" s="2" t="n">
        <f aca="false">IF(L145="No",0,IF(AND(L145="Si",M145="Si"),(I145-(E145+F145))/2,IF(L145="Si",(I145-(E145+F145)),0)))</f>
        <v>0</v>
      </c>
      <c r="H145" s="2" t="n">
        <f aca="false">IF(M145="No",0,IF(AND(L145="Si",M145="Si"),(I145-(E145+F145))/2,IF(M145="Si",(I145-(E145+F145)),0)))</f>
        <v>0</v>
      </c>
      <c r="M145" s="77" t="s">
        <v>74</v>
      </c>
      <c r="P145" s="1" t="n">
        <f aca="false">DAY(A145)</f>
        <v>30</v>
      </c>
    </row>
    <row r="146" customFormat="false" ht="15" hidden="false" customHeight="true" outlineLevel="0" collapsed="false">
      <c r="A146" s="83"/>
      <c r="G146" s="2" t="n">
        <f aca="false">IF(L146="No",0,IF(AND(L146="Si",M146="Si"),(I146-(E146+F146))/2,IF(L146="Si",(I146-(E146+F146)),0)))</f>
        <v>0</v>
      </c>
      <c r="H146" s="2" t="n">
        <f aca="false">IF(M146="No",0,IF(AND(L146="Si",M146="Si"),(I146-(E146+F146))/2,IF(M146="Si",(I146-(E146+F146)),0)))</f>
        <v>0</v>
      </c>
      <c r="M146" s="77" t="s">
        <v>74</v>
      </c>
      <c r="P146" s="1" t="n">
        <f aca="false">DAY(A146)</f>
        <v>30</v>
      </c>
    </row>
    <row r="147" customFormat="false" ht="15" hidden="false" customHeight="true" outlineLevel="0" collapsed="false">
      <c r="A147" s="83"/>
      <c r="G147" s="2" t="n">
        <f aca="false">IF(L147="No",0,IF(AND(L147="Si",M147="Si"),(I147-(E147+F147))/2,IF(L147="Si",(I147-(E147+F147)),0)))</f>
        <v>0</v>
      </c>
      <c r="H147" s="2" t="n">
        <f aca="false">IF(M147="No",0,IF(AND(L147="Si",M147="Si"),(I147-(E147+F147))/2,IF(M147="Si",(I147-(E147+F147)),0)))</f>
        <v>0</v>
      </c>
      <c r="M147" s="77" t="s">
        <v>74</v>
      </c>
      <c r="P147" s="1" t="n">
        <f aca="false">DAY(A147)</f>
        <v>30</v>
      </c>
    </row>
    <row r="148" customFormat="false" ht="15" hidden="false" customHeight="true" outlineLevel="0" collapsed="false">
      <c r="A148" s="83"/>
      <c r="G148" s="2" t="n">
        <f aca="false">IF(L148="No",0,IF(AND(L148="Si",M148="Si"),(I148-(E148+F148))/2,IF(L148="Si",(I148-(E148+F148)),0)))</f>
        <v>0</v>
      </c>
      <c r="H148" s="2" t="n">
        <f aca="false">IF(M148="No",0,IF(AND(L148="Si",M148="Si"),(I148-(E148+F148))/2,IF(M148="Si",(I148-(E148+F148)),0)))</f>
        <v>0</v>
      </c>
      <c r="M148" s="77" t="s">
        <v>74</v>
      </c>
      <c r="P148" s="1" t="n">
        <f aca="false">DAY(A148)</f>
        <v>30</v>
      </c>
    </row>
    <row r="149" customFormat="false" ht="15" hidden="false" customHeight="true" outlineLevel="0" collapsed="false">
      <c r="A149" s="83"/>
      <c r="G149" s="2" t="n">
        <f aca="false">IF(L149="No",0,IF(AND(L149="Si",M149="Si"),(I149-(E149+F149))/2,IF(L149="Si",(I149-(E149+F149)),0)))</f>
        <v>0</v>
      </c>
      <c r="H149" s="2" t="n">
        <f aca="false">IF(M149="No",0,IF(AND(L149="Si",M149="Si"),(I149-(E149+F149))/2,IF(M149="Si",(I149-(E149+F149)),0)))</f>
        <v>0</v>
      </c>
      <c r="M149" s="77" t="s">
        <v>74</v>
      </c>
      <c r="P149" s="1" t="n">
        <f aca="false">DAY(A149)</f>
        <v>30</v>
      </c>
    </row>
    <row r="150" customFormat="false" ht="15" hidden="false" customHeight="true" outlineLevel="0" collapsed="false">
      <c r="A150" s="83"/>
      <c r="G150" s="2" t="n">
        <f aca="false">IF(L150="No",0,IF(AND(L150="Si",M150="Si"),(I150-(E150+F150))/2,IF(L150="Si",(I150-(E150+F150)),0)))</f>
        <v>0</v>
      </c>
      <c r="H150" s="2" t="n">
        <f aca="false">IF(M150="No",0,IF(AND(L150="Si",M150="Si"),(I150-(E150+F150))/2,IF(M150="Si",(I150-(E150+F150)),0)))</f>
        <v>0</v>
      </c>
      <c r="M150" s="77" t="s">
        <v>74</v>
      </c>
      <c r="P150" s="1" t="n">
        <f aca="false">DAY(A150)</f>
        <v>30</v>
      </c>
    </row>
    <row r="151" customFormat="false" ht="15" hidden="false" customHeight="true" outlineLevel="0" collapsed="false">
      <c r="A151" s="83"/>
      <c r="G151" s="2" t="n">
        <f aca="false">IF(L151="No",0,IF(AND(L151="Si",M151="Si"),(I151-(E151+F151))/2,IF(L151="Si",(I151-(E151+F151)),0)))</f>
        <v>0</v>
      </c>
      <c r="H151" s="2" t="n">
        <f aca="false">IF(M151="No",0,IF(AND(L151="Si",M151="Si"),(I151-(E151+F151))/2,IF(M151="Si",(I151-(E151+F151)),0)))</f>
        <v>0</v>
      </c>
      <c r="M151" s="77" t="s">
        <v>74</v>
      </c>
      <c r="P151" s="1" t="n">
        <f aca="false">DAY(A151)</f>
        <v>30</v>
      </c>
    </row>
    <row r="152" customFormat="false" ht="15" hidden="false" customHeight="true" outlineLevel="0" collapsed="false">
      <c r="A152" s="83"/>
      <c r="G152" s="2" t="n">
        <f aca="false">IF(L152="No",0,IF(AND(L152="Si",M152="Si"),(I152-(E152+F152))/2,IF(L152="Si",(I152-(E152+F152)),0)))</f>
        <v>0</v>
      </c>
      <c r="H152" s="2" t="n">
        <f aca="false">IF(M152="No",0,IF(AND(L152="Si",M152="Si"),(I152-(E152+F152))/2,IF(M152="Si",(I152-(E152+F152)),0)))</f>
        <v>0</v>
      </c>
      <c r="M152" s="77" t="s">
        <v>74</v>
      </c>
      <c r="P152" s="1" t="n">
        <f aca="false">DAY(A152)</f>
        <v>30</v>
      </c>
    </row>
    <row r="153" customFormat="false" ht="15" hidden="false" customHeight="true" outlineLevel="0" collapsed="false">
      <c r="A153" s="83"/>
      <c r="G153" s="2" t="n">
        <f aca="false">IF(L153="No",0,IF(AND(L153="Si",M153="Si"),(I153-(E153+F153))/2,IF(L153="Si",(I153-(E153+F153)),0)))</f>
        <v>0</v>
      </c>
      <c r="H153" s="2" t="n">
        <f aca="false">IF(M153="No",0,IF(AND(L153="Si",M153="Si"),(I153-(E153+F153))/2,IF(M153="Si",(I153-(E153+F153)),0)))</f>
        <v>0</v>
      </c>
      <c r="M153" s="77" t="s">
        <v>74</v>
      </c>
      <c r="P153" s="1" t="n">
        <f aca="false">DAY(A153)</f>
        <v>30</v>
      </c>
    </row>
    <row r="154" customFormat="false" ht="15" hidden="false" customHeight="true" outlineLevel="0" collapsed="false">
      <c r="A154" s="83"/>
      <c r="G154" s="2" t="n">
        <f aca="false">IF(L154="No",0,IF(AND(L154="Si",M154="Si"),(I154-(E154+F154))/2,IF(L154="Si",(I154-(E154+F154)),0)))</f>
        <v>0</v>
      </c>
      <c r="H154" s="2" t="n">
        <f aca="false">IF(M154="No",0,IF(AND(L154="Si",M154="Si"),(I154-(E154+F154))/2,IF(M154="Si",(I154-(E154+F154)),0)))</f>
        <v>0</v>
      </c>
      <c r="M154" s="77" t="s">
        <v>74</v>
      </c>
      <c r="P154" s="1" t="n">
        <f aca="false">DAY(A154)</f>
        <v>30</v>
      </c>
    </row>
    <row r="155" customFormat="false" ht="15" hidden="false" customHeight="true" outlineLevel="0" collapsed="false">
      <c r="A155" s="83"/>
      <c r="G155" s="2" t="n">
        <f aca="false">IF(L155="No",0,IF(AND(L155="Si",M155="Si"),(I155-(E155+F155))/2,IF(L155="Si",(I155-(E155+F155)),0)))</f>
        <v>0</v>
      </c>
      <c r="H155" s="2" t="n">
        <f aca="false">IF(M155="No",0,IF(AND(L155="Si",M155="Si"),(I155-(E155+F155))/2,IF(M155="Si",(I155-(E155+F155)),0)))</f>
        <v>0</v>
      </c>
      <c r="M155" s="77" t="s">
        <v>74</v>
      </c>
      <c r="P155" s="1" t="n">
        <f aca="false">DAY(A155)</f>
        <v>30</v>
      </c>
    </row>
    <row r="156" customFormat="false" ht="15" hidden="false" customHeight="true" outlineLevel="0" collapsed="false">
      <c r="A156" s="83"/>
      <c r="G156" s="2" t="n">
        <f aca="false">IF(L156="No",0,IF(AND(L156="Si",M156="Si"),(I156-(E156+F156))/2,IF(L156="Si",(I156-(E156+F156)),0)))</f>
        <v>0</v>
      </c>
      <c r="H156" s="2" t="n">
        <f aca="false">IF(M156="No",0,IF(AND(L156="Si",M156="Si"),(I156-(E156+F156))/2,IF(M156="Si",(I156-(E156+F156)),0)))</f>
        <v>0</v>
      </c>
      <c r="M156" s="77" t="s">
        <v>74</v>
      </c>
      <c r="P156" s="1" t="n">
        <f aca="false">DAY(A156)</f>
        <v>30</v>
      </c>
    </row>
    <row r="157" customFormat="false" ht="15" hidden="false" customHeight="true" outlineLevel="0" collapsed="false">
      <c r="A157" s="83"/>
      <c r="G157" s="2" t="n">
        <f aca="false">IF(L157="No",0,IF(AND(L157="Si",M157="Si"),(I157-(E157+F157))/2,IF(L157="Si",(I157-(E157+F157)),0)))</f>
        <v>0</v>
      </c>
      <c r="H157" s="2" t="n">
        <f aca="false">IF(M157="No",0,IF(AND(L157="Si",M157="Si"),(I157-(E157+F157))/2,IF(M157="Si",(I157-(E157+F157)),0)))</f>
        <v>0</v>
      </c>
      <c r="M157" s="77" t="s">
        <v>74</v>
      </c>
      <c r="P157" s="1" t="n">
        <f aca="false">DAY(A157)</f>
        <v>30</v>
      </c>
    </row>
    <row r="158" customFormat="false" ht="15" hidden="false" customHeight="true" outlineLevel="0" collapsed="false">
      <c r="A158" s="83"/>
      <c r="G158" s="2" t="n">
        <f aca="false">IF(L158="No",0,IF(AND(L158="Si",M158="Si"),(I158-(E158+F158))/2,IF(L158="Si",(I158-(E158+F158)),0)))</f>
        <v>0</v>
      </c>
      <c r="H158" s="2" t="n">
        <f aca="false">IF(M158="No",0,IF(AND(L158="Si",M158="Si"),(I158-(E158+F158))/2,IF(M158="Si",(I158-(E158+F158)),0)))</f>
        <v>0</v>
      </c>
      <c r="M158" s="77" t="s">
        <v>74</v>
      </c>
      <c r="P158" s="1" t="n">
        <f aca="false">DAY(A158)</f>
        <v>30</v>
      </c>
    </row>
    <row r="159" customFormat="false" ht="15" hidden="false" customHeight="true" outlineLevel="0" collapsed="false">
      <c r="A159" s="83"/>
      <c r="G159" s="2" t="n">
        <f aca="false">IF(L159="No",0,IF(AND(L159="Si",M159="Si"),(I159-(E159+F159))/2,IF(L159="Si",(I159-(E159+F159)),0)))</f>
        <v>0</v>
      </c>
      <c r="H159" s="2" t="n">
        <f aca="false">IF(M159="No",0,IF(AND(L159="Si",M159="Si"),(I159-(E159+F159))/2,IF(M159="Si",(I159-(E159+F159)),0)))</f>
        <v>0</v>
      </c>
      <c r="M159" s="77" t="s">
        <v>74</v>
      </c>
      <c r="P159" s="1" t="n">
        <f aca="false">DAY(A159)</f>
        <v>30</v>
      </c>
    </row>
    <row r="160" customFormat="false" ht="15" hidden="false" customHeight="true" outlineLevel="0" collapsed="false">
      <c r="A160" s="83"/>
      <c r="G160" s="2" t="n">
        <f aca="false">IF(L160="No",0,IF(AND(L160="Si",M160="Si"),(I160-(E160+F160))/2,IF(L160="Si",(I160-(E160+F160)),0)))</f>
        <v>0</v>
      </c>
      <c r="H160" s="2" t="n">
        <f aca="false">IF(M160="No",0,IF(AND(L160="Si",M160="Si"),(I160-(E160+F160))/2,IF(M160="Si",(I160-(E160+F160)),0)))</f>
        <v>0</v>
      </c>
      <c r="M160" s="77" t="s">
        <v>74</v>
      </c>
      <c r="P160" s="1" t="n">
        <f aca="false">DAY(A160)</f>
        <v>30</v>
      </c>
    </row>
    <row r="161" customFormat="false" ht="15" hidden="false" customHeight="true" outlineLevel="0" collapsed="false">
      <c r="A161" s="83"/>
      <c r="G161" s="2" t="n">
        <f aca="false">IF(L161="No",0,IF(AND(L161="Si",M161="Si"),(I161-(E161+F161))/2,IF(L161="Si",(I161-(E161+F161)),0)))</f>
        <v>0</v>
      </c>
      <c r="H161" s="2" t="n">
        <f aca="false">IF(M161="No",0,IF(AND(L161="Si",M161="Si"),(I161-(E161+F161))/2,IF(M161="Si",(I161-(E161+F161)),0)))</f>
        <v>0</v>
      </c>
      <c r="M161" s="77" t="s">
        <v>74</v>
      </c>
      <c r="P161" s="1" t="n">
        <f aca="false">DAY(A161)</f>
        <v>30</v>
      </c>
    </row>
    <row r="162" customFormat="false" ht="15" hidden="false" customHeight="true" outlineLevel="0" collapsed="false">
      <c r="A162" s="83"/>
      <c r="G162" s="2" t="n">
        <f aca="false">IF(L162="No",0,IF(AND(L162="Si",M162="Si"),(I162-(E162+F162))/2,IF(L162="Si",(I162-(E162+F162)),0)))</f>
        <v>0</v>
      </c>
      <c r="H162" s="2" t="n">
        <f aca="false">IF(M162="No",0,IF(AND(L162="Si",M162="Si"),(I162-(E162+F162))/2,IF(M162="Si",(I162-(E162+F162)),0)))</f>
        <v>0</v>
      </c>
      <c r="M162" s="77" t="s">
        <v>74</v>
      </c>
      <c r="P162" s="1" t="n">
        <f aca="false">DAY(A162)</f>
        <v>30</v>
      </c>
    </row>
    <row r="163" customFormat="false" ht="15" hidden="false" customHeight="true" outlineLevel="0" collapsed="false">
      <c r="A163" s="83"/>
      <c r="G163" s="2" t="n">
        <f aca="false">IF(L163="No",0,IF(AND(L163="Si",M163="Si"),(I163-(E163+F163))/2,IF(L163="Si",(I163-(E163+F163)),0)))</f>
        <v>0</v>
      </c>
      <c r="H163" s="2" t="n">
        <f aca="false">IF(M163="No",0,IF(AND(L163="Si",M163="Si"),(I163-(E163+F163))/2,IF(M163="Si",(I163-(E163+F163)),0)))</f>
        <v>0</v>
      </c>
      <c r="M163" s="77" t="s">
        <v>74</v>
      </c>
      <c r="P163" s="1" t="n">
        <f aca="false">DAY(A163)</f>
        <v>30</v>
      </c>
    </row>
    <row r="164" customFormat="false" ht="15" hidden="false" customHeight="true" outlineLevel="0" collapsed="false">
      <c r="A164" s="83"/>
      <c r="G164" s="2" t="n">
        <f aca="false">IF(L164="No",0,IF(AND(L164="Si",M164="Si"),(I164-(E164+F164))/2,IF(L164="Si",(I164-(E164+F164)),0)))</f>
        <v>0</v>
      </c>
      <c r="H164" s="2" t="n">
        <f aca="false">IF(M164="No",0,IF(AND(L164="Si",M164="Si"),(I164-(E164+F164))/2,IF(M164="Si",(I164-(E164+F164)),0)))</f>
        <v>0</v>
      </c>
      <c r="M164" s="77" t="s">
        <v>74</v>
      </c>
      <c r="P164" s="1" t="n">
        <f aca="false">DAY(A164)</f>
        <v>30</v>
      </c>
    </row>
    <row r="165" customFormat="false" ht="15" hidden="false" customHeight="true" outlineLevel="0" collapsed="false">
      <c r="A165" s="83"/>
      <c r="G165" s="2" t="n">
        <f aca="false">IF(L165="No",0,IF(AND(L165="Si",M165="Si"),(I165-(E165+F165))/2,IF(L165="Si",(I165-(E165+F165)),0)))</f>
        <v>0</v>
      </c>
      <c r="H165" s="2" t="n">
        <f aca="false">IF(M165="No",0,IF(AND(L165="Si",M165="Si"),(I165-(E165+F165))/2,IF(M165="Si",(I165-(E165+F165)),0)))</f>
        <v>0</v>
      </c>
      <c r="M165" s="77" t="s">
        <v>74</v>
      </c>
      <c r="P165" s="1" t="n">
        <f aca="false">DAY(A165)</f>
        <v>30</v>
      </c>
    </row>
    <row r="166" customFormat="false" ht="15" hidden="false" customHeight="true" outlineLevel="0" collapsed="false">
      <c r="A166" s="83"/>
      <c r="G166" s="2" t="n">
        <f aca="false">IF(L166="No",0,IF(AND(L166="Si",M166="Si"),(I166-(E166+F166))/2,IF(L166="Si",(I166-(E166+F166)),0)))</f>
        <v>0</v>
      </c>
      <c r="H166" s="2" t="n">
        <f aca="false">IF(M166="No",0,IF(AND(L166="Si",M166="Si"),(I166-(E166+F166))/2,IF(M166="Si",(I166-(E166+F166)),0)))</f>
        <v>0</v>
      </c>
      <c r="M166" s="77" t="s">
        <v>74</v>
      </c>
      <c r="P166" s="1" t="n">
        <f aca="false">DAY(A166)</f>
        <v>30</v>
      </c>
    </row>
    <row r="167" customFormat="false" ht="15" hidden="false" customHeight="true" outlineLevel="0" collapsed="false">
      <c r="A167" s="83"/>
      <c r="G167" s="2" t="n">
        <f aca="false">IF(L167="No",0,IF(AND(L167="Si",M167="Si"),(I167-(E167+F167))/2,IF(L167="Si",(I167-(E167+F167)),0)))</f>
        <v>0</v>
      </c>
      <c r="H167" s="2" t="n">
        <f aca="false">IF(M167="No",0,IF(AND(L167="Si",M167="Si"),(I167-(E167+F167))/2,IF(M167="Si",(I167-(E167+F167)),0)))</f>
        <v>0</v>
      </c>
      <c r="M167" s="77" t="s">
        <v>74</v>
      </c>
      <c r="P167" s="1" t="n">
        <f aca="false">DAY(A167)</f>
        <v>30</v>
      </c>
    </row>
    <row r="168" customFormat="false" ht="15" hidden="false" customHeight="true" outlineLevel="0" collapsed="false">
      <c r="A168" s="83"/>
      <c r="G168" s="2" t="n">
        <f aca="false">IF(L168="No",0,IF(AND(L168="Si",M168="Si"),(I168-(E168+F168))/2,IF(L168="Si",(I168-(E168+F168)),0)))</f>
        <v>0</v>
      </c>
      <c r="H168" s="2" t="n">
        <f aca="false">IF(M168="No",0,IF(AND(L168="Si",M168="Si"),(I168-(E168+F168))/2,IF(M168="Si",(I168-(E168+F168)),0)))</f>
        <v>0</v>
      </c>
      <c r="M168" s="77" t="s">
        <v>74</v>
      </c>
      <c r="P168" s="1" t="n">
        <f aca="false">DAY(A168)</f>
        <v>30</v>
      </c>
    </row>
    <row r="169" customFormat="false" ht="15" hidden="false" customHeight="true" outlineLevel="0" collapsed="false">
      <c r="A169" s="83"/>
      <c r="G169" s="2" t="n">
        <f aca="false">IF(L169="No",0,IF(AND(L169="Si",M169="Si"),(I169-(E169+F169))/2,IF(L169="Si",(I169-(E169+F169)),0)))</f>
        <v>0</v>
      </c>
      <c r="H169" s="2" t="n">
        <f aca="false">IF(M169="No",0,IF(AND(L169="Si",M169="Si"),(I169-(E169+F169))/2,IF(M169="Si",(I169-(E169+F169)),0)))</f>
        <v>0</v>
      </c>
      <c r="M169" s="77" t="s">
        <v>74</v>
      </c>
      <c r="P169" s="1" t="n">
        <f aca="false">DAY(A169)</f>
        <v>30</v>
      </c>
    </row>
    <row r="170" customFormat="false" ht="15" hidden="false" customHeight="true" outlineLevel="0" collapsed="false">
      <c r="A170" s="83"/>
      <c r="G170" s="2" t="n">
        <f aca="false">IF(L170="No",0,IF(AND(L170="Si",M170="Si"),(I170-(E170+F170))/2,IF(L170="Si",(I170-(E170+F170)),0)))</f>
        <v>0</v>
      </c>
      <c r="H170" s="2" t="n">
        <f aca="false">IF(M170="No",0,IF(AND(L170="Si",M170="Si"),(I170-(E170+F170))/2,IF(M170="Si",(I170-(E170+F170)),0)))</f>
        <v>0</v>
      </c>
      <c r="M170" s="77" t="s">
        <v>74</v>
      </c>
      <c r="P170" s="1" t="n">
        <f aca="false">DAY(A170)</f>
        <v>30</v>
      </c>
    </row>
    <row r="171" customFormat="false" ht="15" hidden="false" customHeight="true" outlineLevel="0" collapsed="false">
      <c r="A171" s="83"/>
      <c r="G171" s="2" t="n">
        <f aca="false">IF(L171="No",0,IF(AND(L171="Si",M171="Si"),(I171-(E171+F171))/2,IF(L171="Si",(I171-(E171+F171)),0)))</f>
        <v>0</v>
      </c>
      <c r="H171" s="2" t="n">
        <f aca="false">IF(M171="No",0,IF(AND(L171="Si",M171="Si"),(I171-(E171+F171))/2,IF(M171="Si",(I171-(E171+F171)),0)))</f>
        <v>0</v>
      </c>
      <c r="M171" s="77" t="s">
        <v>74</v>
      </c>
      <c r="P171" s="1" t="n">
        <f aca="false">DAY(A171)</f>
        <v>30</v>
      </c>
    </row>
    <row r="172" customFormat="false" ht="15" hidden="false" customHeight="true" outlineLevel="0" collapsed="false">
      <c r="A172" s="83"/>
      <c r="G172" s="2" t="n">
        <f aca="false">IF(L172="No",0,IF(AND(L172="Si",M172="Si"),(I172-(E172+F172))/2,IF(L172="Si",(I172-(E172+F172)),0)))</f>
        <v>0</v>
      </c>
      <c r="H172" s="2" t="n">
        <f aca="false">IF(M172="No",0,IF(AND(L172="Si",M172="Si"),(I172-(E172+F172))/2,IF(M172="Si",(I172-(E172+F172)),0)))</f>
        <v>0</v>
      </c>
      <c r="M172" s="77" t="s">
        <v>74</v>
      </c>
      <c r="P172" s="1" t="n">
        <f aca="false">DAY(A172)</f>
        <v>30</v>
      </c>
    </row>
    <row r="173" customFormat="false" ht="15" hidden="false" customHeight="true" outlineLevel="0" collapsed="false">
      <c r="A173" s="83"/>
      <c r="G173" s="2" t="n">
        <f aca="false">IF(L173="No",0,IF(AND(L173="Si",M173="Si"),(I173-(E173+F173))/2,IF(L173="Si",(I173-(E173+F173)),0)))</f>
        <v>0</v>
      </c>
      <c r="H173" s="2" t="n">
        <f aca="false">IF(M173="No",0,IF(AND(L173="Si",M173="Si"),(I173-(E173+F173))/2,IF(M173="Si",(I173-(E173+F173)),0)))</f>
        <v>0</v>
      </c>
      <c r="M173" s="77" t="s">
        <v>74</v>
      </c>
      <c r="P173" s="1" t="n">
        <f aca="false">DAY(A173)</f>
        <v>30</v>
      </c>
    </row>
    <row r="174" customFormat="false" ht="15" hidden="false" customHeight="true" outlineLevel="0" collapsed="false">
      <c r="A174" s="83"/>
      <c r="G174" s="2" t="n">
        <f aca="false">IF(L174="No",0,IF(AND(L174="Si",M174="Si"),(I174-(E174+F174))/2,IF(L174="Si",(I174-(E174+F174)),0)))</f>
        <v>0</v>
      </c>
      <c r="H174" s="2" t="n">
        <f aca="false">IF(M174="No",0,IF(AND(L174="Si",M174="Si"),(I174-(E174+F174))/2,IF(M174="Si",(I174-(E174+F174)),0)))</f>
        <v>0</v>
      </c>
      <c r="M174" s="77" t="s">
        <v>74</v>
      </c>
      <c r="P174" s="1" t="n">
        <f aca="false">DAY(A174)</f>
        <v>30</v>
      </c>
    </row>
    <row r="175" customFormat="false" ht="15" hidden="false" customHeight="true" outlineLevel="0" collapsed="false">
      <c r="A175" s="83"/>
      <c r="G175" s="2" t="n">
        <f aca="false">IF(L175="No",0,IF(AND(L175="Si",M175="Si"),(I175-(E175+F175))/2,IF(L175="Si",(I175-(E175+F175)),0)))</f>
        <v>0</v>
      </c>
      <c r="H175" s="2" t="n">
        <f aca="false">IF(M175="No",0,IF(AND(L175="Si",M175="Si"),(I175-(E175+F175))/2,IF(M175="Si",(I175-(E175+F175)),0)))</f>
        <v>0</v>
      </c>
      <c r="M175" s="77" t="s">
        <v>74</v>
      </c>
      <c r="P175" s="1" t="n">
        <f aca="false">DAY(A175)</f>
        <v>30</v>
      </c>
    </row>
    <row r="176" customFormat="false" ht="15" hidden="false" customHeight="true" outlineLevel="0" collapsed="false">
      <c r="A176" s="83"/>
      <c r="G176" s="2" t="n">
        <f aca="false">IF(L176="No",0,IF(AND(L176="Si",M176="Si"),(I176-(E176+F176))/2,IF(L176="Si",(I176-(E176+F176)),0)))</f>
        <v>0</v>
      </c>
      <c r="H176" s="2" t="n">
        <f aca="false">IF(M176="No",0,IF(AND(L176="Si",M176="Si"),(I176-(E176+F176))/2,IF(M176="Si",(I176-(E176+F176)),0)))</f>
        <v>0</v>
      </c>
      <c r="M176" s="77" t="s">
        <v>74</v>
      </c>
      <c r="P176" s="1" t="n">
        <f aca="false">DAY(A176)</f>
        <v>30</v>
      </c>
    </row>
    <row r="177" customFormat="false" ht="15" hidden="false" customHeight="true" outlineLevel="0" collapsed="false">
      <c r="A177" s="83"/>
      <c r="G177" s="2" t="n">
        <f aca="false">IF(L177="No",0,IF(AND(L177="Si",M177="Si"),(I177-(E177+F177))/2,IF(L177="Si",(I177-(E177+F177)),0)))</f>
        <v>0</v>
      </c>
      <c r="H177" s="2" t="n">
        <f aca="false">IF(M177="No",0,IF(AND(L177="Si",M177="Si"),(I177-(E177+F177))/2,IF(M177="Si",(I177-(E177+F177)),0)))</f>
        <v>0</v>
      </c>
      <c r="M177" s="77" t="s">
        <v>74</v>
      </c>
      <c r="P177" s="1" t="n">
        <f aca="false">DAY(A177)</f>
        <v>30</v>
      </c>
    </row>
    <row r="178" customFormat="false" ht="15" hidden="false" customHeight="true" outlineLevel="0" collapsed="false">
      <c r="A178" s="83"/>
      <c r="G178" s="2" t="n">
        <f aca="false">IF(L178="No",0,IF(AND(L178="Si",M178="Si"),(I178-(E178+F178))/2,IF(L178="Si",(I178-(E178+F178)),0)))</f>
        <v>0</v>
      </c>
      <c r="H178" s="2" t="n">
        <f aca="false">IF(M178="No",0,IF(AND(L178="Si",M178="Si"),(I178-(E178+F178))/2,IF(M178="Si",(I178-(E178+F178)),0)))</f>
        <v>0</v>
      </c>
      <c r="M178" s="77" t="s">
        <v>74</v>
      </c>
      <c r="P178" s="1" t="n">
        <f aca="false">DAY(A178)</f>
        <v>30</v>
      </c>
    </row>
    <row r="179" customFormat="false" ht="15" hidden="false" customHeight="true" outlineLevel="0" collapsed="false">
      <c r="A179" s="83"/>
      <c r="G179" s="2" t="n">
        <f aca="false">IF(L179="No",0,IF(AND(L179="Si",M179="Si"),(I179-(E179+F179))/2,IF(L179="Si",(I179-(E179+F179)),0)))</f>
        <v>0</v>
      </c>
      <c r="H179" s="2" t="n">
        <f aca="false">IF(M179="No",0,IF(AND(L179="Si",M179="Si"),(I179-(E179+F179))/2,IF(M179="Si",(I179-(E179+F179)),0)))</f>
        <v>0</v>
      </c>
      <c r="M179" s="77" t="s">
        <v>74</v>
      </c>
      <c r="P179" s="1" t="n">
        <f aca="false">DAY(A179)</f>
        <v>30</v>
      </c>
    </row>
    <row r="180" customFormat="false" ht="15" hidden="false" customHeight="true" outlineLevel="0" collapsed="false">
      <c r="A180" s="83"/>
      <c r="G180" s="2" t="n">
        <f aca="false">IF(L180="No",0,IF(AND(L180="Si",M180="Si"),(I180-(E180+F180))/2,IF(L180="Si",(I180-(E180+F180)),0)))</f>
        <v>0</v>
      </c>
      <c r="H180" s="2" t="n">
        <f aca="false">IF(M180="No",0,IF(AND(L180="Si",M180="Si"),(I180-(E180+F180))/2,IF(M180="Si",(I180-(E180+F180)),0)))</f>
        <v>0</v>
      </c>
      <c r="M180" s="77" t="s">
        <v>74</v>
      </c>
      <c r="P180" s="1" t="n">
        <f aca="false">DAY(A180)</f>
        <v>30</v>
      </c>
    </row>
    <row r="181" customFormat="false" ht="15" hidden="false" customHeight="true" outlineLevel="0" collapsed="false">
      <c r="A181" s="83"/>
      <c r="G181" s="2" t="n">
        <f aca="false">IF(L181="No",0,IF(AND(L181="Si",M181="Si"),(I181-(E181+F181))/2,IF(L181="Si",(I181-(E181+F181)),0)))</f>
        <v>0</v>
      </c>
      <c r="H181" s="2" t="n">
        <f aca="false">IF(M181="No",0,IF(AND(L181="Si",M181="Si"),(I181-(E181+F181))/2,IF(M181="Si",(I181-(E181+F181)),0)))</f>
        <v>0</v>
      </c>
      <c r="M181" s="77" t="s">
        <v>74</v>
      </c>
      <c r="P181" s="1" t="n">
        <f aca="false">DAY(A181)</f>
        <v>30</v>
      </c>
    </row>
    <row r="182" customFormat="false" ht="15" hidden="false" customHeight="true" outlineLevel="0" collapsed="false">
      <c r="A182" s="83"/>
      <c r="G182" s="2" t="n">
        <f aca="false">IF(L182="No",0,IF(AND(L182="Si",M182="Si"),(I182-(E182+F182))/2,IF(L182="Si",(I182-(E182+F182)),0)))</f>
        <v>0</v>
      </c>
      <c r="H182" s="2" t="n">
        <f aca="false">IF(M182="No",0,IF(AND(L182="Si",M182="Si"),(I182-(E182+F182))/2,IF(M182="Si",(I182-(E182+F182)),0)))</f>
        <v>0</v>
      </c>
      <c r="M182" s="77" t="s">
        <v>74</v>
      </c>
      <c r="P182" s="1" t="n">
        <f aca="false">DAY(A182)</f>
        <v>30</v>
      </c>
    </row>
    <row r="183" customFormat="false" ht="15" hidden="false" customHeight="true" outlineLevel="0" collapsed="false">
      <c r="A183" s="83"/>
      <c r="G183" s="2" t="n">
        <f aca="false">IF(L183="No",0,IF(AND(L183="Si",M183="Si"),(I183-(E183+F183))/2,IF(L183="Si",(I183-(E183+F183)),0)))</f>
        <v>0</v>
      </c>
      <c r="H183" s="2" t="n">
        <f aca="false">IF(M183="No",0,IF(AND(L183="Si",M183="Si"),(I183-(E183+F183))/2,IF(M183="Si",(I183-(E183+F183)),0)))</f>
        <v>0</v>
      </c>
      <c r="M183" s="77" t="s">
        <v>74</v>
      </c>
      <c r="P183" s="1" t="n">
        <f aca="false">DAY(A183)</f>
        <v>30</v>
      </c>
    </row>
    <row r="184" customFormat="false" ht="15" hidden="false" customHeight="true" outlineLevel="0" collapsed="false">
      <c r="A184" s="83"/>
      <c r="G184" s="2" t="n">
        <f aca="false">IF(L184="No",0,IF(AND(L184="Si",M184="Si"),(I184-(E184+F184))/2,IF(L184="Si",(I184-(E184+F184)),0)))</f>
        <v>0</v>
      </c>
      <c r="H184" s="2" t="n">
        <f aca="false">IF(M184="No",0,IF(AND(L184="Si",M184="Si"),(I184-(E184+F184))/2,IF(M184="Si",(I184-(E184+F184)),0)))</f>
        <v>0</v>
      </c>
      <c r="M184" s="77" t="s">
        <v>74</v>
      </c>
      <c r="P184" s="1" t="n">
        <f aca="false">DAY(A184)</f>
        <v>30</v>
      </c>
    </row>
    <row r="185" customFormat="false" ht="15" hidden="false" customHeight="true" outlineLevel="0" collapsed="false">
      <c r="A185" s="83"/>
      <c r="G185" s="2" t="n">
        <f aca="false">IF(L185="No",0,IF(AND(L185="Si",M185="Si"),(I185-(E185+F185))/2,IF(L185="Si",(I185-(E185+F185)),0)))</f>
        <v>0</v>
      </c>
      <c r="H185" s="2" t="n">
        <f aca="false">IF(M185="No",0,IF(AND(L185="Si",M185="Si"),(I185-(E185+F185))/2,IF(M185="Si",(I185-(E185+F185)),0)))</f>
        <v>0</v>
      </c>
      <c r="M185" s="77" t="s">
        <v>74</v>
      </c>
      <c r="P185" s="1" t="n">
        <f aca="false">DAY(A185)</f>
        <v>30</v>
      </c>
    </row>
    <row r="186" customFormat="false" ht="15" hidden="false" customHeight="true" outlineLevel="0" collapsed="false">
      <c r="A186" s="83"/>
      <c r="G186" s="2" t="n">
        <f aca="false">IF(L186="No",0,IF(AND(L186="Si",M186="Si"),(I186-(E186+F186))/2,IF(L186="Si",(I186-(E186+F186)),0)))</f>
        <v>0</v>
      </c>
      <c r="H186" s="2" t="n">
        <f aca="false">IF(M186="No",0,IF(AND(L186="Si",M186="Si"),(I186-(E186+F186))/2,IF(M186="Si",(I186-(E186+F186)),0)))</f>
        <v>0</v>
      </c>
      <c r="M186" s="77" t="s">
        <v>74</v>
      </c>
      <c r="P186" s="1" t="n">
        <f aca="false">DAY(A186)</f>
        <v>30</v>
      </c>
    </row>
    <row r="187" customFormat="false" ht="15" hidden="false" customHeight="true" outlineLevel="0" collapsed="false">
      <c r="A187" s="83"/>
      <c r="G187" s="2" t="n">
        <f aca="false">IF(L187="No",0,IF(AND(L187="Si",M187="Si"),(I187-(E187+F187))/2,IF(L187="Si",(I187-(E187+F187)),0)))</f>
        <v>0</v>
      </c>
      <c r="H187" s="2" t="n">
        <f aca="false">IF(M187="No",0,IF(AND(L187="Si",M187="Si"),(I187-(E187+F187))/2,IF(M187="Si",(I187-(E187+F187)),0)))</f>
        <v>0</v>
      </c>
      <c r="M187" s="77" t="s">
        <v>74</v>
      </c>
      <c r="P187" s="1" t="n">
        <f aca="false">DAY(A187)</f>
        <v>30</v>
      </c>
    </row>
    <row r="188" customFormat="false" ht="15" hidden="false" customHeight="true" outlineLevel="0" collapsed="false">
      <c r="A188" s="83"/>
      <c r="G188" s="2" t="n">
        <f aca="false">IF(L188="No",0,IF(AND(L188="Si",M188="Si"),(I188-(E188+F188))/2,IF(L188="Si",(I188-(E188+F188)),0)))</f>
        <v>0</v>
      </c>
      <c r="H188" s="2" t="n">
        <f aca="false">IF(M188="No",0,IF(AND(L188="Si",M188="Si"),(I188-(E188+F188))/2,IF(M188="Si",(I188-(E188+F188)),0)))</f>
        <v>0</v>
      </c>
      <c r="M188" s="77" t="s">
        <v>74</v>
      </c>
      <c r="P188" s="1" t="n">
        <f aca="false">DAY(A188)</f>
        <v>30</v>
      </c>
    </row>
    <row r="189" customFormat="false" ht="15" hidden="false" customHeight="true" outlineLevel="0" collapsed="false">
      <c r="A189" s="83"/>
      <c r="G189" s="2" t="n">
        <f aca="false">IF(L189="No",0,IF(AND(L189="Si",M189="Si"),(I189-(E189+F189))/2,IF(L189="Si",(I189-(E189+F189)),0)))</f>
        <v>0</v>
      </c>
      <c r="H189" s="2" t="n">
        <f aca="false">IF(M189="No",0,IF(AND(L189="Si",M189="Si"),(I189-(E189+F189))/2,IF(M189="Si",(I189-(E189+F189)),0)))</f>
        <v>0</v>
      </c>
      <c r="M189" s="77" t="s">
        <v>74</v>
      </c>
      <c r="P189" s="1" t="n">
        <f aca="false">DAY(A189)</f>
        <v>30</v>
      </c>
    </row>
    <row r="190" customFormat="false" ht="15" hidden="false" customHeight="true" outlineLevel="0" collapsed="false">
      <c r="A190" s="83"/>
      <c r="G190" s="2" t="n">
        <f aca="false">IF(L190="No",0,IF(AND(L190="Si",M190="Si"),(I190-(E190+F190))/2,IF(L190="Si",(I190-(E190+F190)),0)))</f>
        <v>0</v>
      </c>
      <c r="H190" s="2" t="n">
        <f aca="false">IF(M190="No",0,IF(AND(L190="Si",M190="Si"),(I190-(E190+F190))/2,IF(M190="Si",(I190-(E190+F190)),0)))</f>
        <v>0</v>
      </c>
      <c r="M190" s="77" t="s">
        <v>74</v>
      </c>
      <c r="P190" s="1" t="n">
        <f aca="false">DAY(A190)</f>
        <v>30</v>
      </c>
    </row>
    <row r="191" customFormat="false" ht="15" hidden="false" customHeight="true" outlineLevel="0" collapsed="false">
      <c r="A191" s="83"/>
      <c r="G191" s="2" t="n">
        <f aca="false">IF(L191="No",0,IF(AND(L191="Si",M191="Si"),(I191-(E191+F191))/2,IF(L191="Si",(I191-(E191+F191)),0)))</f>
        <v>0</v>
      </c>
      <c r="H191" s="2" t="n">
        <f aca="false">IF(M191="No",0,IF(AND(L191="Si",M191="Si"),(I191-(E191+F191))/2,IF(M191="Si",(I191-(E191+F191)),0)))</f>
        <v>0</v>
      </c>
      <c r="M191" s="77" t="s">
        <v>74</v>
      </c>
      <c r="P191" s="1" t="n">
        <f aca="false">DAY(A191)</f>
        <v>30</v>
      </c>
    </row>
    <row r="192" customFormat="false" ht="15" hidden="false" customHeight="true" outlineLevel="0" collapsed="false">
      <c r="A192" s="83"/>
      <c r="G192" s="2" t="n">
        <f aca="false">IF(L192="No",0,IF(AND(L192="Si",M192="Si"),(I192-(E192+F192))/2,IF(L192="Si",(I192-(E192+F192)),0)))</f>
        <v>0</v>
      </c>
      <c r="H192" s="2" t="n">
        <f aca="false">IF(M192="No",0,IF(AND(L192="Si",M192="Si"),(I192-(E192+F192))/2,IF(M192="Si",(I192-(E192+F192)),0)))</f>
        <v>0</v>
      </c>
      <c r="M192" s="77" t="s">
        <v>74</v>
      </c>
      <c r="P192" s="1" t="n">
        <f aca="false">DAY(A192)</f>
        <v>30</v>
      </c>
    </row>
    <row r="193" customFormat="false" ht="15" hidden="false" customHeight="true" outlineLevel="0" collapsed="false">
      <c r="A193" s="83"/>
      <c r="G193" s="2" t="n">
        <f aca="false">IF(L193="No",0,IF(AND(L193="Si",M193="Si"),(I193-(E193+F193))/2,IF(L193="Si",(I193-(E193+F193)),0)))</f>
        <v>0</v>
      </c>
      <c r="H193" s="2" t="n">
        <f aca="false">IF(M193="No",0,IF(AND(L193="Si",M193="Si"),(I193-(E193+F193))/2,IF(M193="Si",(I193-(E193+F193)),0)))</f>
        <v>0</v>
      </c>
      <c r="M193" s="77" t="s">
        <v>74</v>
      </c>
      <c r="P193" s="1" t="n">
        <f aca="false">DAY(A193)</f>
        <v>30</v>
      </c>
    </row>
    <row r="194" customFormat="false" ht="15" hidden="false" customHeight="true" outlineLevel="0" collapsed="false">
      <c r="A194" s="83"/>
      <c r="G194" s="2" t="n">
        <f aca="false">IF(L194="No",0,IF(AND(L194="Si",M194="Si"),(I194-(E194+F194))/2,IF(L194="Si",(I194-(E194+F194)),0)))</f>
        <v>0</v>
      </c>
      <c r="H194" s="2" t="n">
        <f aca="false">IF(M194="No",0,IF(AND(L194="Si",M194="Si"),(I194-(E194+F194))/2,IF(M194="Si",(I194-(E194+F194)),0)))</f>
        <v>0</v>
      </c>
      <c r="M194" s="77" t="s">
        <v>74</v>
      </c>
      <c r="P194" s="1" t="n">
        <f aca="false">DAY(A194)</f>
        <v>30</v>
      </c>
    </row>
    <row r="195" customFormat="false" ht="15" hidden="false" customHeight="true" outlineLevel="0" collapsed="false">
      <c r="A195" s="83"/>
      <c r="G195" s="2" t="n">
        <f aca="false">IF(L195="No",0,IF(AND(L195="Si",M195="Si"),(I195-(E195+F195))/2,IF(L195="Si",(I195-(E195+F195)),0)))</f>
        <v>0</v>
      </c>
      <c r="H195" s="2" t="n">
        <f aca="false">IF(M195="No",0,IF(AND(L195="Si",M195="Si"),(I195-(E195+F195))/2,IF(M195="Si",(I195-(E195+F195)),0)))</f>
        <v>0</v>
      </c>
      <c r="M195" s="77" t="s">
        <v>74</v>
      </c>
      <c r="P195" s="1" t="n">
        <f aca="false">DAY(A195)</f>
        <v>30</v>
      </c>
    </row>
    <row r="196" customFormat="false" ht="15" hidden="false" customHeight="true" outlineLevel="0" collapsed="false">
      <c r="A196" s="83"/>
      <c r="G196" s="2" t="n">
        <f aca="false">IF(L196="No",0,IF(AND(L196="Si",M196="Si"),(I196-(E196+F196))/2,IF(L196="Si",(I196-(E196+F196)),0)))</f>
        <v>0</v>
      </c>
      <c r="H196" s="2" t="n">
        <f aca="false">IF(M196="No",0,IF(AND(L196="Si",M196="Si"),(I196-(E196+F196))/2,IF(M196="Si",(I196-(E196+F196)),0)))</f>
        <v>0</v>
      </c>
      <c r="M196" s="77" t="s">
        <v>74</v>
      </c>
      <c r="P196" s="1" t="n">
        <f aca="false">DAY(A196)</f>
        <v>30</v>
      </c>
    </row>
    <row r="197" customFormat="false" ht="15" hidden="false" customHeight="true" outlineLevel="0" collapsed="false">
      <c r="A197" s="83"/>
      <c r="G197" s="2" t="n">
        <f aca="false">IF(L197="No",0,IF(AND(L197="Si",M197="Si"),(I197-(E197+F197))/2,IF(L197="Si",(I197-(E197+F197)),0)))</f>
        <v>0</v>
      </c>
      <c r="H197" s="2" t="n">
        <f aca="false">IF(M197="No",0,IF(AND(L197="Si",M197="Si"),(I197-(E197+F197))/2,IF(M197="Si",(I197-(E197+F197)),0)))</f>
        <v>0</v>
      </c>
      <c r="M197" s="77" t="s">
        <v>74</v>
      </c>
      <c r="P197" s="1" t="n">
        <f aca="false">DAY(A197)</f>
        <v>30</v>
      </c>
    </row>
    <row r="198" customFormat="false" ht="15" hidden="false" customHeight="true" outlineLevel="0" collapsed="false">
      <c r="A198" s="83"/>
      <c r="G198" s="2" t="n">
        <f aca="false">IF(L198="No",0,IF(AND(L198="Si",M198="Si"),(I198-(E198+F198))/2,IF(L198="Si",(I198-(E198+F198)),0)))</f>
        <v>0</v>
      </c>
      <c r="H198" s="2" t="n">
        <f aca="false">IF(M198="No",0,IF(AND(L198="Si",M198="Si"),(I198-(E198+F198))/2,IF(M198="Si",(I198-(E198+F198)),0)))</f>
        <v>0</v>
      </c>
      <c r="M198" s="77" t="s">
        <v>74</v>
      </c>
      <c r="P198" s="1" t="n">
        <f aca="false">DAY(A198)</f>
        <v>30</v>
      </c>
    </row>
    <row r="199" customFormat="false" ht="15" hidden="false" customHeight="true" outlineLevel="0" collapsed="false">
      <c r="A199" s="83"/>
      <c r="G199" s="2" t="n">
        <f aca="false">IF(L199="No",0,IF(AND(L199="Si",M199="Si"),(I199-(E199+F199))/2,IF(L199="Si",(I199-(E199+F199)),0)))</f>
        <v>0</v>
      </c>
      <c r="H199" s="2" t="n">
        <f aca="false">IF(M199="No",0,IF(AND(L199="Si",M199="Si"),(I199-(E199+F199))/2,IF(M199="Si",(I199-(E199+F199)),0)))</f>
        <v>0</v>
      </c>
      <c r="M199" s="77" t="s">
        <v>74</v>
      </c>
      <c r="P199" s="1" t="n">
        <f aca="false">DAY(A199)</f>
        <v>30</v>
      </c>
    </row>
    <row r="200" customFormat="false" ht="15" hidden="false" customHeight="true" outlineLevel="0" collapsed="false">
      <c r="A200" s="83"/>
      <c r="G200" s="2" t="n">
        <f aca="false">IF(L200="No",0,IF(AND(L200="Si",M200="Si"),(I200-(E200+F200))/2,IF(L200="Si",(I200-(E200+F200)),0)))</f>
        <v>0</v>
      </c>
      <c r="H200" s="2" t="n">
        <f aca="false">IF(M200="No",0,IF(AND(L200="Si",M200="Si"),(I200-(E200+F200))/2,IF(M200="Si",(I200-(E200+F200)),0)))</f>
        <v>0</v>
      </c>
      <c r="M200" s="77" t="s">
        <v>74</v>
      </c>
      <c r="P200" s="1" t="n">
        <f aca="false">DAY(A200)</f>
        <v>30</v>
      </c>
    </row>
    <row r="201" customFormat="false" ht="15" hidden="false" customHeight="true" outlineLevel="0" collapsed="false">
      <c r="A201" s="83"/>
      <c r="G201" s="2" t="n">
        <f aca="false">IF(L201="No",0,IF(AND(L201="Si",M201="Si"),(I201-(E201+F201))/2,IF(L201="Si",(I201-(E201+F201)),0)))</f>
        <v>0</v>
      </c>
      <c r="H201" s="2" t="n">
        <f aca="false">IF(M201="No",0,IF(AND(L201="Si",M201="Si"),(I201-(E201+F201))/2,IF(M201="Si",(I201-(E201+F201)),0)))</f>
        <v>0</v>
      </c>
      <c r="M201" s="77" t="s">
        <v>74</v>
      </c>
      <c r="P201" s="1" t="n">
        <f aca="false">DAY(A201)</f>
        <v>30</v>
      </c>
    </row>
    <row r="202" customFormat="false" ht="15" hidden="false" customHeight="true" outlineLevel="0" collapsed="false">
      <c r="A202" s="83"/>
      <c r="G202" s="2" t="n">
        <f aca="false">IF(L202="No",0,IF(AND(L202="Si",M202="Si"),(I202-(E202+F202))/2,IF(L202="Si",(I202-(E202+F202)),0)))</f>
        <v>0</v>
      </c>
      <c r="H202" s="2" t="n">
        <f aca="false">IF(M202="No",0,IF(AND(L202="Si",M202="Si"),(I202-(E202+F202))/2,IF(M202="Si",(I202-(E202+F202)),0)))</f>
        <v>0</v>
      </c>
      <c r="M202" s="77" t="s">
        <v>74</v>
      </c>
      <c r="P202" s="1" t="n">
        <f aca="false">DAY(A202)</f>
        <v>30</v>
      </c>
    </row>
    <row r="203" customFormat="false" ht="15" hidden="false" customHeight="true" outlineLevel="0" collapsed="false">
      <c r="A203" s="83"/>
      <c r="G203" s="2" t="n">
        <f aca="false">IF(L203="No",0,IF(AND(L203="Si",M203="Si"),(I203-(E203+F203))/2,IF(L203="Si",(I203-(E203+F203)),0)))</f>
        <v>0</v>
      </c>
      <c r="H203" s="2" t="n">
        <f aca="false">IF(M203="No",0,IF(AND(L203="Si",M203="Si"),(I203-(E203+F203))/2,IF(M203="Si",(I203-(E203+F203)),0)))</f>
        <v>0</v>
      </c>
      <c r="M203" s="77" t="s">
        <v>74</v>
      </c>
      <c r="P203" s="1" t="n">
        <f aca="false">DAY(A203)</f>
        <v>30</v>
      </c>
    </row>
    <row r="204" customFormat="false" ht="15" hidden="false" customHeight="true" outlineLevel="0" collapsed="false">
      <c r="A204" s="83"/>
      <c r="G204" s="2" t="n">
        <f aca="false">IF(L204="No",0,IF(AND(L204="Si",M204="Si"),(I204-(E204+F204))/2,IF(L204="Si",(I204-(E204+F204)),0)))</f>
        <v>0</v>
      </c>
      <c r="H204" s="2" t="n">
        <f aca="false">IF(M204="No",0,IF(AND(L204="Si",M204="Si"),(I204-(E204+F204))/2,IF(M204="Si",(I204-(E204+F204)),0)))</f>
        <v>0</v>
      </c>
      <c r="M204" s="77" t="s">
        <v>74</v>
      </c>
      <c r="P204" s="1" t="n">
        <f aca="false">DAY(A204)</f>
        <v>30</v>
      </c>
    </row>
    <row r="205" customFormat="false" ht="15" hidden="false" customHeight="true" outlineLevel="0" collapsed="false">
      <c r="A205" s="83"/>
      <c r="G205" s="2" t="n">
        <f aca="false">IF(L205="No",0,IF(AND(L205="Si",M205="Si"),(I205-(E205+F205))/2,IF(L205="Si",(I205-(E205+F205)),0)))</f>
        <v>0</v>
      </c>
      <c r="H205" s="2" t="n">
        <f aca="false">IF(M205="No",0,IF(AND(L205="Si",M205="Si"),(I205-(E205+F205))/2,IF(M205="Si",(I205-(E205+F205)),0)))</f>
        <v>0</v>
      </c>
      <c r="M205" s="77" t="s">
        <v>74</v>
      </c>
      <c r="P205" s="1" t="n">
        <f aca="false">DAY(A205)</f>
        <v>30</v>
      </c>
    </row>
    <row r="206" customFormat="false" ht="15" hidden="false" customHeight="true" outlineLevel="0" collapsed="false">
      <c r="A206" s="83"/>
      <c r="G206" s="2" t="n">
        <f aca="false">IF(L206="No",0,IF(AND(L206="Si",M206="Si"),(I206-(E206+F206))/2,IF(L206="Si",(I206-(E206+F206)),0)))</f>
        <v>0</v>
      </c>
      <c r="H206" s="2" t="n">
        <f aca="false">IF(M206="No",0,IF(AND(L206="Si",M206="Si"),(I206-(E206+F206))/2,IF(M206="Si",(I206-(E206+F206)),0)))</f>
        <v>0</v>
      </c>
      <c r="M206" s="77" t="s">
        <v>74</v>
      </c>
      <c r="P206" s="1" t="n">
        <f aca="false">DAY(A206)</f>
        <v>30</v>
      </c>
    </row>
    <row r="207" customFormat="false" ht="15" hidden="false" customHeight="true" outlineLevel="0" collapsed="false">
      <c r="A207" s="83"/>
      <c r="G207" s="2" t="n">
        <f aca="false">IF(L207="No",0,IF(AND(L207="Si",M207="Si"),(I207-(E207+F207))/2,IF(L207="Si",(I207-(E207+F207)),0)))</f>
        <v>0</v>
      </c>
      <c r="H207" s="2" t="n">
        <f aca="false">IF(M207="No",0,IF(AND(L207="Si",M207="Si"),(I207-(E207+F207))/2,IF(M207="Si",(I207-(E207+F207)),0)))</f>
        <v>0</v>
      </c>
      <c r="M207" s="77" t="s">
        <v>74</v>
      </c>
      <c r="P207" s="1" t="n">
        <f aca="false">DAY(A207)</f>
        <v>30</v>
      </c>
    </row>
    <row r="208" customFormat="false" ht="15" hidden="false" customHeight="true" outlineLevel="0" collapsed="false">
      <c r="A208" s="83"/>
      <c r="G208" s="2" t="n">
        <f aca="false">IF(L208="No",0,IF(AND(L208="Si",M208="Si"),(I208-(E208+F208))/2,IF(L208="Si",(I208-(E208+F208)),0)))</f>
        <v>0</v>
      </c>
      <c r="H208" s="2" t="n">
        <f aca="false">IF(M208="No",0,IF(AND(L208="Si",M208="Si"),(I208-(E208+F208))/2,IF(M208="Si",(I208-(E208+F208)),0)))</f>
        <v>0</v>
      </c>
      <c r="M208" s="77" t="s">
        <v>74</v>
      </c>
      <c r="P208" s="1" t="n">
        <f aca="false">DAY(A208)</f>
        <v>30</v>
      </c>
    </row>
    <row r="209" customFormat="false" ht="15" hidden="false" customHeight="true" outlineLevel="0" collapsed="false">
      <c r="A209" s="83"/>
      <c r="G209" s="2" t="n">
        <f aca="false">IF(L209="No",0,IF(AND(L209="Si",M209="Si"),(I209-(E209+F209))/2,IF(L209="Si",(I209-(E209+F209)),0)))</f>
        <v>0</v>
      </c>
      <c r="H209" s="2" t="n">
        <f aca="false">IF(M209="No",0,IF(AND(L209="Si",M209="Si"),(I209-(E209+F209))/2,IF(M209="Si",(I209-(E209+F209)),0)))</f>
        <v>0</v>
      </c>
      <c r="M209" s="77" t="s">
        <v>74</v>
      </c>
      <c r="P209" s="1" t="n">
        <f aca="false">DAY(A209)</f>
        <v>30</v>
      </c>
    </row>
    <row r="210" customFormat="false" ht="15" hidden="false" customHeight="true" outlineLevel="0" collapsed="false">
      <c r="A210" s="83"/>
      <c r="G210" s="2" t="n">
        <f aca="false">IF(L210="No",0,IF(AND(L210="Si",M210="Si"),(I210-(E210+F210))/2,IF(L210="Si",(I210-(E210+F210)),0)))</f>
        <v>0</v>
      </c>
      <c r="H210" s="2" t="n">
        <f aca="false">IF(M210="No",0,IF(AND(L210="Si",M210="Si"),(I210-(E210+F210))/2,IF(M210="Si",(I210-(E210+F210)),0)))</f>
        <v>0</v>
      </c>
      <c r="M210" s="77" t="s">
        <v>74</v>
      </c>
      <c r="P210" s="1" t="n">
        <f aca="false">DAY(A210)</f>
        <v>30</v>
      </c>
    </row>
    <row r="211" customFormat="false" ht="15" hidden="false" customHeight="true" outlineLevel="0" collapsed="false">
      <c r="A211" s="83"/>
      <c r="G211" s="2" t="n">
        <f aca="false">IF(L211="No",0,IF(AND(L211="Si",M211="Si"),(I211-(E211+F211))/2,IF(L211="Si",(I211-(E211+F211)),0)))</f>
        <v>0</v>
      </c>
      <c r="H211" s="2" t="n">
        <f aca="false">IF(M211="No",0,IF(AND(L211="Si",M211="Si"),(I211-(E211+F211))/2,IF(M211="Si",(I211-(E211+F211)),0)))</f>
        <v>0</v>
      </c>
      <c r="M211" s="77" t="s">
        <v>74</v>
      </c>
      <c r="P211" s="1" t="n">
        <f aca="false">DAY(A211)</f>
        <v>30</v>
      </c>
    </row>
    <row r="212" customFormat="false" ht="15" hidden="false" customHeight="true" outlineLevel="0" collapsed="false">
      <c r="A212" s="83"/>
      <c r="G212" s="2" t="n">
        <f aca="false">IF(L212="No",0,IF(AND(L212="Si",M212="Si"),(I212-(E212+F212))/2,IF(L212="Si",(I212-(E212+F212)),0)))</f>
        <v>0</v>
      </c>
      <c r="H212" s="2" t="n">
        <f aca="false">IF(M212="No",0,IF(AND(L212="Si",M212="Si"),(I212-(E212+F212))/2,IF(M212="Si",(I212-(E212+F212)),0)))</f>
        <v>0</v>
      </c>
      <c r="M212" s="77" t="s">
        <v>74</v>
      </c>
      <c r="P212" s="1" t="n">
        <f aca="false">DAY(A212)</f>
        <v>30</v>
      </c>
    </row>
    <row r="213" customFormat="false" ht="15" hidden="false" customHeight="true" outlineLevel="0" collapsed="false">
      <c r="A213" s="83"/>
      <c r="G213" s="2" t="n">
        <f aca="false">IF(L213="No",0,IF(AND(L213="Si",M213="Si"),(I213-(E213+F213))/2,IF(L213="Si",(I213-(E213+F213)),0)))</f>
        <v>0</v>
      </c>
      <c r="H213" s="2" t="n">
        <f aca="false">IF(M213="No",0,IF(AND(L213="Si",M213="Si"),(I213-(E213+F213))/2,IF(M213="Si",(I213-(E213+F213)),0)))</f>
        <v>0</v>
      </c>
      <c r="M213" s="77" t="s">
        <v>74</v>
      </c>
      <c r="P213" s="1" t="n">
        <f aca="false">DAY(A213)</f>
        <v>30</v>
      </c>
    </row>
    <row r="214" customFormat="false" ht="15" hidden="false" customHeight="true" outlineLevel="0" collapsed="false">
      <c r="A214" s="83"/>
      <c r="G214" s="2" t="n">
        <f aca="false">IF(L214="No",0,IF(AND(L214="Si",M214="Si"),(I214-(E214+F214))/2,IF(L214="Si",(I214-(E214+F214)),0)))</f>
        <v>0</v>
      </c>
      <c r="H214" s="2" t="n">
        <f aca="false">IF(M214="No",0,IF(AND(L214="Si",M214="Si"),(I214-(E214+F214))/2,IF(M214="Si",(I214-(E214+F214)),0)))</f>
        <v>0</v>
      </c>
      <c r="M214" s="77" t="s">
        <v>74</v>
      </c>
      <c r="P214" s="1" t="n">
        <f aca="false">DAY(A214)</f>
        <v>30</v>
      </c>
    </row>
    <row r="215" customFormat="false" ht="15" hidden="false" customHeight="true" outlineLevel="0" collapsed="false">
      <c r="A215" s="83"/>
      <c r="G215" s="2" t="n">
        <f aca="false">IF(L215="No",0,IF(AND(L215="Si",M215="Si"),(I215-(E215+F215))/2,IF(L215="Si",(I215-(E215+F215)),0)))</f>
        <v>0</v>
      </c>
      <c r="H215" s="2" t="n">
        <f aca="false">IF(M215="No",0,IF(AND(L215="Si",M215="Si"),(I215-(E215+F215))/2,IF(M215="Si",(I215-(E215+F215)),0)))</f>
        <v>0</v>
      </c>
      <c r="M215" s="77" t="s">
        <v>74</v>
      </c>
      <c r="P215" s="1" t="n">
        <f aca="false">DAY(A215)</f>
        <v>30</v>
      </c>
    </row>
    <row r="216" customFormat="false" ht="15" hidden="false" customHeight="true" outlineLevel="0" collapsed="false">
      <c r="A216" s="83"/>
      <c r="G216" s="2" t="n">
        <f aca="false">IF(L216="No",0,IF(AND(L216="Si",M216="Si"),(I216-(E216+F216))/2,IF(L216="Si",(I216-(E216+F216)),0)))</f>
        <v>0</v>
      </c>
      <c r="H216" s="2" t="n">
        <f aca="false">IF(M216="No",0,IF(AND(L216="Si",M216="Si"),(I216-(E216+F216))/2,IF(M216="Si",(I216-(E216+F216)),0)))</f>
        <v>0</v>
      </c>
      <c r="M216" s="77" t="s">
        <v>74</v>
      </c>
      <c r="P216" s="1" t="n">
        <f aca="false">DAY(A216)</f>
        <v>30</v>
      </c>
    </row>
    <row r="217" customFormat="false" ht="15" hidden="false" customHeight="true" outlineLevel="0" collapsed="false">
      <c r="A217" s="83"/>
      <c r="G217" s="2" t="n">
        <f aca="false">IF(L217="No",0,IF(AND(L217="Si",M217="Si"),(I217-(E217+F217))/2,IF(L217="Si",(I217-(E217+F217)),0)))</f>
        <v>0</v>
      </c>
      <c r="H217" s="2" t="n">
        <f aca="false">IF(M217="No",0,IF(AND(L217="Si",M217="Si"),(I217-(E217+F217))/2,IF(M217="Si",(I217-(E217+F217)),0)))</f>
        <v>0</v>
      </c>
      <c r="M217" s="77" t="s">
        <v>74</v>
      </c>
      <c r="P217" s="1" t="n">
        <f aca="false">DAY(A217)</f>
        <v>30</v>
      </c>
    </row>
    <row r="218" customFormat="false" ht="15" hidden="false" customHeight="true" outlineLevel="0" collapsed="false">
      <c r="A218" s="83"/>
      <c r="G218" s="2" t="n">
        <f aca="false">IF(L218="No",0,IF(AND(L218="Si",M218="Si"),(I218-(E218+F218))/2,IF(L218="Si",(I218-(E218+F218)),0)))</f>
        <v>0</v>
      </c>
      <c r="H218" s="2" t="n">
        <f aca="false">IF(M218="No",0,IF(AND(L218="Si",M218="Si"),(I218-(E218+F218))/2,IF(M218="Si",(I218-(E218+F218)),0)))</f>
        <v>0</v>
      </c>
      <c r="M218" s="77" t="s">
        <v>74</v>
      </c>
      <c r="P218" s="1" t="n">
        <f aca="false">DAY(A218)</f>
        <v>30</v>
      </c>
    </row>
    <row r="219" customFormat="false" ht="15" hidden="false" customHeight="true" outlineLevel="0" collapsed="false">
      <c r="A219" s="83"/>
      <c r="G219" s="2" t="n">
        <f aca="false">IF(L219="No",0,IF(AND(L219="Si",M219="Si"),(I219-(E219+F219))/2,IF(L219="Si",(I219-(E219+F219)),0)))</f>
        <v>0</v>
      </c>
      <c r="H219" s="2" t="n">
        <f aca="false">IF(M219="No",0,IF(AND(L219="Si",M219="Si"),(I219-(E219+F219))/2,IF(M219="Si",(I219-(E219+F219)),0)))</f>
        <v>0</v>
      </c>
      <c r="M219" s="77" t="s">
        <v>74</v>
      </c>
      <c r="P219" s="1" t="n">
        <f aca="false">DAY(A219)</f>
        <v>30</v>
      </c>
    </row>
    <row r="220" customFormat="false" ht="15" hidden="false" customHeight="true" outlineLevel="0" collapsed="false">
      <c r="A220" s="83"/>
      <c r="G220" s="2" t="n">
        <f aca="false">IF(L220="No",0,IF(AND(L220="Si",M220="Si"),(I220-(E220+F220))/2,IF(L220="Si",(I220-(E220+F220)),0)))</f>
        <v>0</v>
      </c>
      <c r="H220" s="2" t="n">
        <f aca="false">IF(M220="No",0,IF(AND(L220="Si",M220="Si"),(I220-(E220+F220))/2,IF(M220="Si",(I220-(E220+F220)),0)))</f>
        <v>0</v>
      </c>
      <c r="M220" s="77" t="s">
        <v>74</v>
      </c>
      <c r="P220" s="1" t="n">
        <f aca="false">DAY(A220)</f>
        <v>30</v>
      </c>
    </row>
    <row r="221" customFormat="false" ht="15" hidden="false" customHeight="true" outlineLevel="0" collapsed="false">
      <c r="A221" s="83"/>
      <c r="G221" s="2" t="n">
        <f aca="false">IF(L221="No",0,IF(AND(L221="Si",M221="Si"),(I221-(E221+F221))/2,IF(L221="Si",(I221-(E221+F221)),0)))</f>
        <v>0</v>
      </c>
      <c r="H221" s="2" t="n">
        <f aca="false">IF(M221="No",0,IF(AND(L221="Si",M221="Si"),(I221-(E221+F221))/2,IF(M221="Si",(I221-(E221+F221)),0)))</f>
        <v>0</v>
      </c>
      <c r="M221" s="77" t="s">
        <v>74</v>
      </c>
      <c r="P221" s="1" t="n">
        <f aca="false">DAY(A221)</f>
        <v>30</v>
      </c>
    </row>
    <row r="222" customFormat="false" ht="15" hidden="false" customHeight="true" outlineLevel="0" collapsed="false">
      <c r="A222" s="83"/>
      <c r="G222" s="2" t="n">
        <f aca="false">IF(L222="No",0,IF(AND(L222="Si",M222="Si"),(I222-(E222+F222))/2,IF(L222="Si",(I222-(E222+F222)),0)))</f>
        <v>0</v>
      </c>
      <c r="H222" s="2" t="n">
        <f aca="false">IF(M222="No",0,IF(AND(L222="Si",M222="Si"),(I222-(E222+F222))/2,IF(M222="Si",(I222-(E222+F222)),0)))</f>
        <v>0</v>
      </c>
      <c r="M222" s="77" t="s">
        <v>74</v>
      </c>
      <c r="P222" s="1" t="n">
        <f aca="false">DAY(A222)</f>
        <v>30</v>
      </c>
    </row>
    <row r="223" customFormat="false" ht="15" hidden="false" customHeight="true" outlineLevel="0" collapsed="false">
      <c r="A223" s="83"/>
      <c r="G223" s="2" t="n">
        <f aca="false">IF(L223="No",0,IF(AND(L223="Si",M223="Si"),(I223-(E223+F223))/2,IF(L223="Si",(I223-(E223+F223)),0)))</f>
        <v>0</v>
      </c>
      <c r="H223" s="2" t="n">
        <f aca="false">IF(M223="No",0,IF(AND(L223="Si",M223="Si"),(I223-(E223+F223))/2,IF(M223="Si",(I223-(E223+F223)),0)))</f>
        <v>0</v>
      </c>
      <c r="M223" s="77" t="s">
        <v>74</v>
      </c>
      <c r="P223" s="1" t="n">
        <f aca="false">DAY(A223)</f>
        <v>30</v>
      </c>
    </row>
    <row r="224" customFormat="false" ht="15" hidden="false" customHeight="true" outlineLevel="0" collapsed="false">
      <c r="A224" s="83"/>
      <c r="G224" s="2" t="n">
        <f aca="false">IF(L224="No",0,IF(AND(L224="Si",M224="Si"),(I224-(E224+F224))/2,IF(L224="Si",(I224-(E224+F224)),0)))</f>
        <v>0</v>
      </c>
      <c r="H224" s="2" t="n">
        <f aca="false">IF(M224="No",0,IF(AND(L224="Si",M224="Si"),(I224-(E224+F224))/2,IF(M224="Si",(I224-(E224+F224)),0)))</f>
        <v>0</v>
      </c>
      <c r="M224" s="77" t="s">
        <v>74</v>
      </c>
      <c r="P224" s="1" t="n">
        <f aca="false">DAY(A224)</f>
        <v>30</v>
      </c>
    </row>
    <row r="225" customFormat="false" ht="15" hidden="false" customHeight="true" outlineLevel="0" collapsed="false">
      <c r="A225" s="83"/>
      <c r="G225" s="2" t="n">
        <f aca="false">IF(L225="No",0,IF(AND(L225="Si",M225="Si"),(I225-(E225+F225))/2,IF(L225="Si",(I225-(E225+F225)),0)))</f>
        <v>0</v>
      </c>
      <c r="H225" s="2" t="n">
        <f aca="false">IF(M225="No",0,IF(AND(L225="Si",M225="Si"),(I225-(E225+F225))/2,IF(M225="Si",(I225-(E225+F225)),0)))</f>
        <v>0</v>
      </c>
      <c r="M225" s="77" t="s">
        <v>74</v>
      </c>
      <c r="P225" s="1" t="n">
        <f aca="false">DAY(A225)</f>
        <v>30</v>
      </c>
    </row>
    <row r="226" customFormat="false" ht="15" hidden="false" customHeight="true" outlineLevel="0" collapsed="false">
      <c r="A226" s="83"/>
      <c r="G226" s="2" t="n">
        <f aca="false">IF(L226="No",0,IF(AND(L226="Si",M226="Si"),(I226-(E226+F226))/2,IF(L226="Si",(I226-(E226+F226)),0)))</f>
        <v>0</v>
      </c>
      <c r="H226" s="2" t="n">
        <f aca="false">IF(M226="No",0,IF(AND(L226="Si",M226="Si"),(I226-(E226+F226))/2,IF(M226="Si",(I226-(E226+F226)),0)))</f>
        <v>0</v>
      </c>
      <c r="M226" s="77" t="s">
        <v>74</v>
      </c>
      <c r="P226" s="1" t="n">
        <f aca="false">DAY(A226)</f>
        <v>30</v>
      </c>
    </row>
    <row r="227" customFormat="false" ht="15" hidden="false" customHeight="true" outlineLevel="0" collapsed="false">
      <c r="A227" s="83"/>
      <c r="G227" s="2" t="n">
        <f aca="false">IF(L227="No",0,IF(AND(L227="Si",M227="Si"),(I227-(E227+F227))/2,IF(L227="Si",(I227-(E227+F227)),0)))</f>
        <v>0</v>
      </c>
      <c r="H227" s="2" t="n">
        <f aca="false">IF(M227="No",0,IF(AND(L227="Si",M227="Si"),(I227-(E227+F227))/2,IF(M227="Si",(I227-(E227+F227)),0)))</f>
        <v>0</v>
      </c>
      <c r="M227" s="77" t="s">
        <v>74</v>
      </c>
      <c r="P227" s="1" t="n">
        <f aca="false">DAY(A227)</f>
        <v>30</v>
      </c>
    </row>
    <row r="228" customFormat="false" ht="15" hidden="false" customHeight="true" outlineLevel="0" collapsed="false">
      <c r="A228" s="83"/>
      <c r="G228" s="2" t="n">
        <f aca="false">IF(L228="No",0,IF(AND(L228="Si",M228="Si"),(I228-(E228+F228))/2,IF(L228="Si",(I228-(E228+F228)),0)))</f>
        <v>0</v>
      </c>
      <c r="H228" s="2" t="n">
        <f aca="false">IF(M228="No",0,IF(AND(L228="Si",M228="Si"),(I228-(E228+F228))/2,IF(M228="Si",(I228-(E228+F228)),0)))</f>
        <v>0</v>
      </c>
      <c r="M228" s="77" t="s">
        <v>74</v>
      </c>
      <c r="P228" s="1" t="n">
        <f aca="false">DAY(A228)</f>
        <v>30</v>
      </c>
    </row>
    <row r="229" customFormat="false" ht="15" hidden="false" customHeight="true" outlineLevel="0" collapsed="false">
      <c r="A229" s="83"/>
      <c r="G229" s="2" t="n">
        <f aca="false">IF(L229="No",0,IF(AND(L229="Si",M229="Si"),(I229-(E229+F229))/2,IF(L229="Si",(I229-(E229+F229)),0)))</f>
        <v>0</v>
      </c>
      <c r="H229" s="2" t="n">
        <f aca="false">IF(M229="No",0,IF(AND(L229="Si",M229="Si"),(I229-(E229+F229))/2,IF(M229="Si",(I229-(E229+F229)),0)))</f>
        <v>0</v>
      </c>
      <c r="M229" s="77" t="s">
        <v>74</v>
      </c>
      <c r="P229" s="1" t="n">
        <f aca="false">DAY(A229)</f>
        <v>30</v>
      </c>
    </row>
    <row r="230" customFormat="false" ht="15" hidden="false" customHeight="true" outlineLevel="0" collapsed="false">
      <c r="A230" s="83"/>
      <c r="G230" s="2" t="n">
        <f aca="false">IF(L230="No",0,IF(AND(L230="Si",M230="Si"),(I230-(E230+F230))/2,IF(L230="Si",(I230-(E230+F230)),0)))</f>
        <v>0</v>
      </c>
      <c r="H230" s="2" t="n">
        <f aca="false">IF(M230="No",0,IF(AND(L230="Si",M230="Si"),(I230-(E230+F230))/2,IF(M230="Si",(I230-(E230+F230)),0)))</f>
        <v>0</v>
      </c>
      <c r="M230" s="77" t="s">
        <v>74</v>
      </c>
      <c r="P230" s="1" t="n">
        <f aca="false">DAY(A230)</f>
        <v>30</v>
      </c>
    </row>
    <row r="231" customFormat="false" ht="15" hidden="false" customHeight="true" outlineLevel="0" collapsed="false">
      <c r="A231" s="83"/>
      <c r="G231" s="2" t="n">
        <f aca="false">IF(L231="No",0,IF(AND(L231="Si",M231="Si"),(I231-(E231+F231))/2,IF(L231="Si",(I231-(E231+F231)),0)))</f>
        <v>0</v>
      </c>
      <c r="H231" s="2" t="n">
        <f aca="false">IF(M231="No",0,IF(AND(L231="Si",M231="Si"),(I231-(E231+F231))/2,IF(M231="Si",(I231-(E231+F231)),0)))</f>
        <v>0</v>
      </c>
      <c r="M231" s="77" t="s">
        <v>74</v>
      </c>
      <c r="P231" s="1" t="n">
        <f aca="false">DAY(A231)</f>
        <v>30</v>
      </c>
    </row>
    <row r="232" customFormat="false" ht="15" hidden="false" customHeight="true" outlineLevel="0" collapsed="false">
      <c r="A232" s="83"/>
      <c r="G232" s="2" t="n">
        <f aca="false">IF(L232="No",0,IF(AND(L232="Si",M232="Si"),(I232-(E232+F232))/2,IF(L232="Si",(I232-(E232+F232)),0)))</f>
        <v>0</v>
      </c>
      <c r="H232" s="2" t="n">
        <f aca="false">IF(M232="No",0,IF(AND(L232="Si",M232="Si"),(I232-(E232+F232))/2,IF(M232="Si",(I232-(E232+F232)),0)))</f>
        <v>0</v>
      </c>
      <c r="M232" s="77" t="s">
        <v>74</v>
      </c>
      <c r="P232" s="1" t="n">
        <f aca="false">DAY(A232)</f>
        <v>30</v>
      </c>
    </row>
    <row r="233" customFormat="false" ht="15" hidden="false" customHeight="true" outlineLevel="0" collapsed="false">
      <c r="A233" s="83"/>
      <c r="G233" s="2" t="n">
        <f aca="false">IF(L233="No",0,IF(AND(L233="Si",M233="Si"),(I233-(E233+F233))/2,IF(L233="Si",(I233-(E233+F233)),0)))</f>
        <v>0</v>
      </c>
      <c r="H233" s="2" t="n">
        <f aca="false">IF(M233="No",0,IF(AND(L233="Si",M233="Si"),(I233-(E233+F233))/2,IF(M233="Si",(I233-(E233+F233)),0)))</f>
        <v>0</v>
      </c>
      <c r="M233" s="77" t="s">
        <v>74</v>
      </c>
      <c r="P233" s="1" t="n">
        <f aca="false">DAY(A233)</f>
        <v>30</v>
      </c>
    </row>
    <row r="234" customFormat="false" ht="15" hidden="false" customHeight="true" outlineLevel="0" collapsed="false">
      <c r="A234" s="83"/>
      <c r="G234" s="2" t="n">
        <f aca="false">IF(L234="No",0,IF(AND(L234="Si",M234="Si"),(I234-(E234+F234))/2,IF(L234="Si",(I234-(E234+F234)),0)))</f>
        <v>0</v>
      </c>
      <c r="H234" s="2" t="n">
        <f aca="false">IF(M234="No",0,IF(AND(L234="Si",M234="Si"),(I234-(E234+F234))/2,IF(M234="Si",(I234-(E234+F234)),0)))</f>
        <v>0</v>
      </c>
      <c r="M234" s="77" t="s">
        <v>74</v>
      </c>
      <c r="P234" s="1" t="n">
        <f aca="false">DAY(A234)</f>
        <v>30</v>
      </c>
    </row>
    <row r="235" customFormat="false" ht="15" hidden="false" customHeight="true" outlineLevel="0" collapsed="false">
      <c r="A235" s="83"/>
      <c r="G235" s="2" t="n">
        <f aca="false">IF(L235="No",0,IF(AND(L235="Si",M235="Si"),(I235-(E235+F235))/2,IF(L235="Si",(I235-(E235+F235)),0)))</f>
        <v>0</v>
      </c>
      <c r="H235" s="2" t="n">
        <f aca="false">IF(M235="No",0,IF(AND(L235="Si",M235="Si"),(I235-(E235+F235))/2,IF(M235="Si",(I235-(E235+F235)),0)))</f>
        <v>0</v>
      </c>
      <c r="M235" s="77" t="s">
        <v>74</v>
      </c>
      <c r="P235" s="1" t="n">
        <f aca="false">DAY(A235)</f>
        <v>30</v>
      </c>
    </row>
    <row r="236" customFormat="false" ht="15" hidden="false" customHeight="true" outlineLevel="0" collapsed="false">
      <c r="A236" s="83"/>
      <c r="G236" s="2" t="n">
        <f aca="false">IF(L236="No",0,IF(AND(L236="Si",M236="Si"),(I236-(E236+F236))/2,IF(L236="Si",(I236-(E236+F236)),0)))</f>
        <v>0</v>
      </c>
      <c r="H236" s="2" t="n">
        <f aca="false">IF(M236="No",0,IF(AND(L236="Si",M236="Si"),(I236-(E236+F236))/2,IF(M236="Si",(I236-(E236+F236)),0)))</f>
        <v>0</v>
      </c>
      <c r="M236" s="77" t="s">
        <v>74</v>
      </c>
      <c r="P236" s="1" t="n">
        <f aca="false">DAY(A236)</f>
        <v>30</v>
      </c>
    </row>
    <row r="237" customFormat="false" ht="15" hidden="false" customHeight="true" outlineLevel="0" collapsed="false">
      <c r="A237" s="83"/>
      <c r="G237" s="2" t="n">
        <f aca="false">IF(L237="No",0,IF(AND(L237="Si",M237="Si"),(I237-(E237+F237))/2,IF(L237="Si",(I237-(E237+F237)),0)))</f>
        <v>0</v>
      </c>
      <c r="H237" s="2" t="n">
        <f aca="false">IF(M237="No",0,IF(AND(L237="Si",M237="Si"),(I237-(E237+F237))/2,IF(M237="Si",(I237-(E237+F237)),0)))</f>
        <v>0</v>
      </c>
      <c r="M237" s="77" t="s">
        <v>74</v>
      </c>
      <c r="P237" s="1" t="n">
        <f aca="false">DAY(A237)</f>
        <v>30</v>
      </c>
    </row>
    <row r="238" customFormat="false" ht="15" hidden="false" customHeight="true" outlineLevel="0" collapsed="false">
      <c r="A238" s="83"/>
      <c r="G238" s="2" t="n">
        <f aca="false">IF(L238="No",0,IF(AND(L238="Si",M238="Si"),(I238-(E238+F238))/2,IF(L238="Si",(I238-(E238+F238)),0)))</f>
        <v>0</v>
      </c>
      <c r="H238" s="2" t="n">
        <f aca="false">IF(M238="No",0,IF(AND(L238="Si",M238="Si"),(I238-(E238+F238))/2,IF(M238="Si",(I238-(E238+F238)),0)))</f>
        <v>0</v>
      </c>
      <c r="M238" s="77" t="s">
        <v>74</v>
      </c>
      <c r="P238" s="1" t="n">
        <f aca="false">DAY(A238)</f>
        <v>30</v>
      </c>
    </row>
    <row r="239" customFormat="false" ht="15" hidden="false" customHeight="true" outlineLevel="0" collapsed="false">
      <c r="A239" s="83"/>
      <c r="G239" s="2" t="n">
        <f aca="false">IF(L239="No",0,IF(AND(L239="Si",M239="Si"),(I239-(E239+F239))/2,IF(L239="Si",(I239-(E239+F239)),0)))</f>
        <v>0</v>
      </c>
      <c r="H239" s="2" t="n">
        <f aca="false">IF(M239="No",0,IF(AND(L239="Si",M239="Si"),(I239-(E239+F239))/2,IF(M239="Si",(I239-(E239+F239)),0)))</f>
        <v>0</v>
      </c>
      <c r="M239" s="77" t="s">
        <v>74</v>
      </c>
      <c r="P239" s="1" t="n">
        <f aca="false">DAY(A239)</f>
        <v>30</v>
      </c>
    </row>
    <row r="240" customFormat="false" ht="15" hidden="false" customHeight="true" outlineLevel="0" collapsed="false">
      <c r="A240" s="83"/>
      <c r="G240" s="2" t="n">
        <f aca="false">IF(L240="No",0,IF(AND(L240="Si",M240="Si"),(I240-(E240+F240))/2,IF(L240="Si",(I240-(E240+F240)),0)))</f>
        <v>0</v>
      </c>
      <c r="H240" s="2" t="n">
        <f aca="false">IF(M240="No",0,IF(AND(L240="Si",M240="Si"),(I240-(E240+F240))/2,IF(M240="Si",(I240-(E240+F240)),0)))</f>
        <v>0</v>
      </c>
      <c r="M240" s="77" t="s">
        <v>74</v>
      </c>
      <c r="P240" s="1" t="n">
        <f aca="false">DAY(A240)</f>
        <v>30</v>
      </c>
    </row>
    <row r="241" customFormat="false" ht="15" hidden="false" customHeight="true" outlineLevel="0" collapsed="false">
      <c r="A241" s="83"/>
      <c r="G241" s="2" t="n">
        <f aca="false">IF(L241="No",0,IF(AND(L241="Si",M241="Si"),(I241-(E241+F241))/2,IF(L241="Si",(I241-(E241+F241)),0)))</f>
        <v>0</v>
      </c>
      <c r="H241" s="2" t="n">
        <f aca="false">IF(M241="No",0,IF(AND(L241="Si",M241="Si"),(I241-(E241+F241))/2,IF(M241="Si",(I241-(E241+F241)),0)))</f>
        <v>0</v>
      </c>
      <c r="M241" s="77" t="s">
        <v>74</v>
      </c>
      <c r="P241" s="1" t="n">
        <f aca="false">DAY(A241)</f>
        <v>30</v>
      </c>
    </row>
    <row r="242" customFormat="false" ht="15" hidden="false" customHeight="true" outlineLevel="0" collapsed="false">
      <c r="A242" s="83"/>
      <c r="G242" s="2" t="n">
        <f aca="false">IF(L242="No",0,IF(AND(L242="Si",M242="Si"),(I242-(E242+F242))/2,IF(L242="Si",(I242-(E242+F242)),0)))</f>
        <v>0</v>
      </c>
      <c r="H242" s="2" t="n">
        <f aca="false">IF(M242="No",0,IF(AND(L242="Si",M242="Si"),(I242-(E242+F242))/2,IF(M242="Si",(I242-(E242+F242)),0)))</f>
        <v>0</v>
      </c>
      <c r="M242" s="77" t="s">
        <v>74</v>
      </c>
      <c r="P242" s="1" t="n">
        <f aca="false">DAY(A242)</f>
        <v>30</v>
      </c>
    </row>
    <row r="243" customFormat="false" ht="15" hidden="false" customHeight="true" outlineLevel="0" collapsed="false">
      <c r="A243" s="83"/>
      <c r="G243" s="2" t="n">
        <f aca="false">IF(L243="No",0,IF(AND(L243="Si",M243="Si"),(I243-(E243+F243))/2,IF(L243="Si",(I243-(E243+F243)),0)))</f>
        <v>0</v>
      </c>
      <c r="H243" s="2" t="n">
        <f aca="false">IF(M243="No",0,IF(AND(L243="Si",M243="Si"),(I243-(E243+F243))/2,IF(M243="Si",(I243-(E243+F243)),0)))</f>
        <v>0</v>
      </c>
      <c r="M243" s="77" t="s">
        <v>74</v>
      </c>
      <c r="P243" s="1" t="n">
        <f aca="false">DAY(A243)</f>
        <v>30</v>
      </c>
    </row>
    <row r="244" customFormat="false" ht="15" hidden="false" customHeight="true" outlineLevel="0" collapsed="false">
      <c r="A244" s="83"/>
      <c r="G244" s="2" t="n">
        <f aca="false">IF(L244="No",0,IF(AND(L244="Si",M244="Si"),(I244-(E244+F244))/2,IF(L244="Si",(I244-(E244+F244)),0)))</f>
        <v>0</v>
      </c>
      <c r="H244" s="2" t="n">
        <f aca="false">IF(M244="No",0,IF(AND(L244="Si",M244="Si"),(I244-(E244+F244))/2,IF(M244="Si",(I244-(E244+F244)),0)))</f>
        <v>0</v>
      </c>
      <c r="M244" s="77" t="s">
        <v>74</v>
      </c>
      <c r="P244" s="1" t="n">
        <f aca="false">DAY(A244)</f>
        <v>30</v>
      </c>
    </row>
    <row r="245" customFormat="false" ht="15" hidden="false" customHeight="true" outlineLevel="0" collapsed="false">
      <c r="A245" s="83"/>
      <c r="G245" s="2" t="n">
        <f aca="false">IF(L245="No",0,IF(AND(L245="Si",M245="Si"),(I245-(E245+F245))/2,IF(L245="Si",(I245-(E245+F245)),0)))</f>
        <v>0</v>
      </c>
      <c r="H245" s="2" t="n">
        <f aca="false">IF(M245="No",0,IF(AND(L245="Si",M245="Si"),(I245-(E245+F245))/2,IF(M245="Si",(I245-(E245+F245)),0)))</f>
        <v>0</v>
      </c>
      <c r="M245" s="77" t="s">
        <v>74</v>
      </c>
      <c r="P245" s="1" t="n">
        <f aca="false">DAY(A245)</f>
        <v>30</v>
      </c>
    </row>
    <row r="246" customFormat="false" ht="15" hidden="false" customHeight="true" outlineLevel="0" collapsed="false">
      <c r="A246" s="83"/>
      <c r="G246" s="2" t="n">
        <f aca="false">IF(L246="No",0,IF(AND(L246="Si",M246="Si"),(I246-(E246+F246))/2,IF(L246="Si",(I246-(E246+F246)),0)))</f>
        <v>0</v>
      </c>
      <c r="H246" s="2" t="n">
        <f aca="false">IF(M246="No",0,IF(AND(L246="Si",M246="Si"),(I246-(E246+F246))/2,IF(M246="Si",(I246-(E246+F246)),0)))</f>
        <v>0</v>
      </c>
      <c r="M246" s="77" t="s">
        <v>74</v>
      </c>
      <c r="P246" s="1" t="n">
        <f aca="false">DAY(A246)</f>
        <v>30</v>
      </c>
    </row>
    <row r="247" customFormat="false" ht="15" hidden="false" customHeight="true" outlineLevel="0" collapsed="false">
      <c r="A247" s="83"/>
      <c r="G247" s="2" t="n">
        <f aca="false">IF(L247="No",0,IF(AND(L247="Si",M247="Si"),(I247-(E247+F247))/2,IF(L247="Si",(I247-(E247+F247)),0)))</f>
        <v>0</v>
      </c>
      <c r="H247" s="2" t="n">
        <f aca="false">IF(M247="No",0,IF(AND(L247="Si",M247="Si"),(I247-(E247+F247))/2,IF(M247="Si",(I247-(E247+F247)),0)))</f>
        <v>0</v>
      </c>
      <c r="M247" s="77" t="s">
        <v>74</v>
      </c>
      <c r="P247" s="1" t="n">
        <f aca="false">DAY(A247)</f>
        <v>30</v>
      </c>
    </row>
    <row r="248" customFormat="false" ht="15" hidden="false" customHeight="true" outlineLevel="0" collapsed="false">
      <c r="A248" s="83"/>
      <c r="G248" s="2" t="n">
        <f aca="false">IF(L248="No",0,IF(AND(L248="Si",M248="Si"),(I248-(E248+F248))/2,IF(L248="Si",(I248-(E248+F248)),0)))</f>
        <v>0</v>
      </c>
      <c r="H248" s="2" t="n">
        <f aca="false">IF(M248="No",0,IF(AND(L248="Si",M248="Si"),(I248-(E248+F248))/2,IF(M248="Si",(I248-(E248+F248)),0)))</f>
        <v>0</v>
      </c>
      <c r="M248" s="77" t="s">
        <v>74</v>
      </c>
      <c r="P248" s="1" t="n">
        <f aca="false">DAY(A248)</f>
        <v>30</v>
      </c>
    </row>
    <row r="249" customFormat="false" ht="15" hidden="false" customHeight="true" outlineLevel="0" collapsed="false">
      <c r="A249" s="83"/>
      <c r="G249" s="2" t="n">
        <f aca="false">IF(L249="No",0,IF(AND(L249="Si",M249="Si"),(I249-(E249+F249))/2,IF(L249="Si",(I249-(E249+F249)),0)))</f>
        <v>0</v>
      </c>
      <c r="H249" s="2" t="n">
        <f aca="false">IF(M249="No",0,IF(AND(L249="Si",M249="Si"),(I249-(E249+F249))/2,IF(M249="Si",(I249-(E249+F249)),0)))</f>
        <v>0</v>
      </c>
      <c r="M249" s="77" t="s">
        <v>74</v>
      </c>
      <c r="P249" s="1" t="n">
        <f aca="false">DAY(A249)</f>
        <v>30</v>
      </c>
    </row>
    <row r="250" customFormat="false" ht="15" hidden="false" customHeight="true" outlineLevel="0" collapsed="false">
      <c r="A250" s="83"/>
      <c r="G250" s="2" t="n">
        <f aca="false">IF(L250="No",0,IF(AND(L250="Si",M250="Si"),(I250-(E250+F250))/2,IF(L250="Si",(I250-(E250+F250)),0)))</f>
        <v>0</v>
      </c>
      <c r="H250" s="2" t="n">
        <f aca="false">IF(M250="No",0,IF(AND(L250="Si",M250="Si"),(I250-(E250+F250))/2,IF(M250="Si",(I250-(E250+F250)),0)))</f>
        <v>0</v>
      </c>
      <c r="M250" s="77" t="s">
        <v>74</v>
      </c>
      <c r="P250" s="1" t="n">
        <f aca="false">DAY(A250)</f>
        <v>30</v>
      </c>
    </row>
    <row r="251" customFormat="false" ht="15" hidden="false" customHeight="true" outlineLevel="0" collapsed="false">
      <c r="A251" s="83"/>
      <c r="G251" s="2" t="n">
        <f aca="false">IF(L251="No",0,IF(AND(L251="Si",M251="Si"),(I251-(E251+F251))/2,IF(L251="Si",(I251-(E251+F251)),0)))</f>
        <v>0</v>
      </c>
      <c r="H251" s="2" t="n">
        <f aca="false">IF(M251="No",0,IF(AND(L251="Si",M251="Si"),(I251-(E251+F251))/2,IF(M251="Si",(I251-(E251+F251)),0)))</f>
        <v>0</v>
      </c>
      <c r="M251" s="77" t="s">
        <v>74</v>
      </c>
      <c r="P251" s="1" t="n">
        <f aca="false">DAY(A251)</f>
        <v>30</v>
      </c>
    </row>
    <row r="252" customFormat="false" ht="15" hidden="false" customHeight="true" outlineLevel="0" collapsed="false">
      <c r="A252" s="83"/>
      <c r="G252" s="2" t="n">
        <f aca="false">IF(L252="No",0,IF(AND(L252="Si",M252="Si"),(I252-(E252+F252))/2,IF(L252="Si",(I252-(E252+F252)),0)))</f>
        <v>0</v>
      </c>
      <c r="H252" s="2" t="n">
        <f aca="false">IF(M252="No",0,IF(AND(L252="Si",M252="Si"),(I252-(E252+F252))/2,IF(M252="Si",(I252-(E252+F252)),0)))</f>
        <v>0</v>
      </c>
      <c r="M252" s="77" t="s">
        <v>74</v>
      </c>
      <c r="P252" s="1" t="n">
        <f aca="false">DAY(A252)</f>
        <v>30</v>
      </c>
    </row>
    <row r="253" customFormat="false" ht="15" hidden="false" customHeight="true" outlineLevel="0" collapsed="false">
      <c r="A253" s="83"/>
      <c r="G253" s="2" t="n">
        <f aca="false">IF(L253="No",0,IF(AND(L253="Si",M253="Si"),(I253-(E253+F253))/2,IF(L253="Si",(I253-(E253+F253)),0)))</f>
        <v>0</v>
      </c>
      <c r="H253" s="2" t="n">
        <f aca="false">IF(M253="No",0,IF(AND(L253="Si",M253="Si"),(I253-(E253+F253))/2,IF(M253="Si",(I253-(E253+F253)),0)))</f>
        <v>0</v>
      </c>
      <c r="M253" s="77" t="s">
        <v>74</v>
      </c>
      <c r="P253" s="1" t="n">
        <f aca="false">DAY(A253)</f>
        <v>30</v>
      </c>
    </row>
    <row r="254" customFormat="false" ht="15" hidden="false" customHeight="true" outlineLevel="0" collapsed="false">
      <c r="A254" s="83"/>
      <c r="G254" s="2" t="n">
        <f aca="false">IF(L254="No",0,IF(AND(L254="Si",M254="Si"),(I254-(E254+F254))/2,IF(L254="Si",(I254-(E254+F254)),0)))</f>
        <v>0</v>
      </c>
      <c r="H254" s="2" t="n">
        <f aca="false">IF(M254="No",0,IF(AND(L254="Si",M254="Si"),(I254-(E254+F254))/2,IF(M254="Si",(I254-(E254+F254)),0)))</f>
        <v>0</v>
      </c>
      <c r="M254" s="77" t="s">
        <v>74</v>
      </c>
      <c r="P254" s="1" t="n">
        <f aca="false">DAY(A254)</f>
        <v>30</v>
      </c>
    </row>
    <row r="255" customFormat="false" ht="15" hidden="false" customHeight="true" outlineLevel="0" collapsed="false">
      <c r="A255" s="83"/>
      <c r="G255" s="2" t="n">
        <f aca="false">IF(L255="No",0,IF(AND(L255="Si",M255="Si"),(I255-(E255+F255))/2,IF(L255="Si",(I255-(E255+F255)),0)))</f>
        <v>0</v>
      </c>
      <c r="H255" s="2" t="n">
        <f aca="false">IF(M255="No",0,IF(AND(L255="Si",M255="Si"),(I255-(E255+F255))/2,IF(M255="Si",(I255-(E255+F255)),0)))</f>
        <v>0</v>
      </c>
      <c r="M255" s="77" t="s">
        <v>74</v>
      </c>
      <c r="P255" s="1" t="n">
        <f aca="false">DAY(A255)</f>
        <v>30</v>
      </c>
    </row>
    <row r="256" customFormat="false" ht="15" hidden="false" customHeight="true" outlineLevel="0" collapsed="false">
      <c r="A256" s="83"/>
      <c r="G256" s="2" t="n">
        <f aca="false">IF(L256="No",0,IF(AND(L256="Si",M256="Si"),(I256-(E256+F256))/2,IF(L256="Si",(I256-(E256+F256)),0)))</f>
        <v>0</v>
      </c>
      <c r="H256" s="2" t="n">
        <f aca="false">IF(M256="No",0,IF(AND(L256="Si",M256="Si"),(I256-(E256+F256))/2,IF(M256="Si",(I256-(E256+F256)),0)))</f>
        <v>0</v>
      </c>
      <c r="M256" s="77" t="s">
        <v>74</v>
      </c>
      <c r="P256" s="1" t="n">
        <f aca="false">DAY(A256)</f>
        <v>30</v>
      </c>
    </row>
    <row r="257" customFormat="false" ht="15" hidden="false" customHeight="true" outlineLevel="0" collapsed="false">
      <c r="A257" s="83"/>
      <c r="G257" s="2" t="n">
        <f aca="false">IF(L257="No",0,IF(AND(L257="Si",M257="Si"),(I257-(E257+F257))/2,IF(L257="Si",(I257-(E257+F257)),0)))</f>
        <v>0</v>
      </c>
      <c r="H257" s="2" t="n">
        <f aca="false">IF(M257="No",0,IF(AND(L257="Si",M257="Si"),(I257-(E257+F257))/2,IF(M257="Si",(I257-(E257+F257)),0)))</f>
        <v>0</v>
      </c>
      <c r="M257" s="77" t="s">
        <v>74</v>
      </c>
      <c r="P257" s="1" t="n">
        <f aca="false">DAY(A257)</f>
        <v>30</v>
      </c>
    </row>
    <row r="258" customFormat="false" ht="15" hidden="false" customHeight="true" outlineLevel="0" collapsed="false">
      <c r="A258" s="83"/>
      <c r="G258" s="2" t="n">
        <f aca="false">IF(L258="No",0,IF(AND(L258="Si",M258="Si"),(I258-(E258+F258))/2,IF(L258="Si",(I258-(E258+F258)),0)))</f>
        <v>0</v>
      </c>
      <c r="H258" s="2" t="n">
        <f aca="false">IF(M258="No",0,IF(AND(L258="Si",M258="Si"),(I258-(E258+F258))/2,IF(M258="Si",(I258-(E258+F258)),0)))</f>
        <v>0</v>
      </c>
      <c r="M258" s="77" t="s">
        <v>74</v>
      </c>
      <c r="P258" s="1" t="n">
        <f aca="false">DAY(A258)</f>
        <v>30</v>
      </c>
    </row>
    <row r="259" customFormat="false" ht="15" hidden="false" customHeight="true" outlineLevel="0" collapsed="false">
      <c r="A259" s="83"/>
      <c r="G259" s="2" t="n">
        <f aca="false">IF(L259="No",0,IF(AND(L259="Si",M259="Si"),(I259-(E259+F259))/2,IF(L259="Si",(I259-(E259+F259)),0)))</f>
        <v>0</v>
      </c>
      <c r="H259" s="2" t="n">
        <f aca="false">IF(M259="No",0,IF(AND(L259="Si",M259="Si"),(I259-(E259+F259))/2,IF(M259="Si",(I259-(E259+F259)),0)))</f>
        <v>0</v>
      </c>
      <c r="M259" s="77" t="s">
        <v>74</v>
      </c>
      <c r="P259" s="1" t="n">
        <f aca="false">DAY(A259)</f>
        <v>30</v>
      </c>
    </row>
    <row r="260" customFormat="false" ht="15" hidden="false" customHeight="true" outlineLevel="0" collapsed="false">
      <c r="A260" s="83"/>
      <c r="G260" s="2" t="n">
        <f aca="false">IF(L260="No",0,IF(AND(L260="Si",M260="Si"),(I260-(E260+F260))/2,IF(L260="Si",(I260-(E260+F260)),0)))</f>
        <v>0</v>
      </c>
      <c r="H260" s="2" t="n">
        <f aca="false">IF(M260="No",0,IF(AND(L260="Si",M260="Si"),(I260-(E260+F260))/2,IF(M260="Si",(I260-(E260+F260)),0)))</f>
        <v>0</v>
      </c>
      <c r="M260" s="77" t="s">
        <v>74</v>
      </c>
      <c r="P260" s="1" t="n">
        <f aca="false">DAY(A260)</f>
        <v>30</v>
      </c>
    </row>
    <row r="261" customFormat="false" ht="15" hidden="false" customHeight="true" outlineLevel="0" collapsed="false">
      <c r="A261" s="83"/>
      <c r="G261" s="2" t="n">
        <f aca="false">IF(L261="No",0,IF(AND(L261="Si",M261="Si"),(I261-(E261+F261))/2,IF(L261="Si",(I261-(E261+F261)),0)))</f>
        <v>0</v>
      </c>
      <c r="H261" s="2" t="n">
        <f aca="false">IF(M261="No",0,IF(AND(L261="Si",M261="Si"),(I261-(E261+F261))/2,IF(M261="Si",(I261-(E261+F261)),0)))</f>
        <v>0</v>
      </c>
      <c r="M261" s="77" t="s">
        <v>74</v>
      </c>
      <c r="P261" s="1" t="n">
        <f aca="false">DAY(A261)</f>
        <v>30</v>
      </c>
    </row>
    <row r="262" customFormat="false" ht="15" hidden="false" customHeight="true" outlineLevel="0" collapsed="false">
      <c r="A262" s="83"/>
      <c r="G262" s="2" t="n">
        <f aca="false">IF(L262="No",0,IF(AND(L262="Si",M262="Si"),(I262-(E262+F262))/2,IF(L262="Si",(I262-(E262+F262)),0)))</f>
        <v>0</v>
      </c>
      <c r="H262" s="2" t="n">
        <f aca="false">IF(M262="No",0,IF(AND(L262="Si",M262="Si"),(I262-(E262+F262))/2,IF(M262="Si",(I262-(E262+F262)),0)))</f>
        <v>0</v>
      </c>
      <c r="M262" s="77" t="s">
        <v>74</v>
      </c>
      <c r="P262" s="1" t="n">
        <f aca="false">DAY(A262)</f>
        <v>30</v>
      </c>
    </row>
    <row r="263" customFormat="false" ht="15" hidden="false" customHeight="true" outlineLevel="0" collapsed="false">
      <c r="A263" s="83"/>
      <c r="G263" s="2" t="n">
        <f aca="false">IF(L263="No",0,IF(AND(L263="Si",M263="Si"),(I263-(E263+F263))/2,IF(L263="Si",(I263-(E263+F263)),0)))</f>
        <v>0</v>
      </c>
      <c r="H263" s="2" t="n">
        <f aca="false">IF(M263="No",0,IF(AND(L263="Si",M263="Si"),(I263-(E263+F263))/2,IF(M263="Si",(I263-(E263+F263)),0)))</f>
        <v>0</v>
      </c>
      <c r="M263" s="77" t="s">
        <v>74</v>
      </c>
      <c r="P263" s="1" t="n">
        <f aca="false">DAY(A263)</f>
        <v>30</v>
      </c>
    </row>
    <row r="264" customFormat="false" ht="15" hidden="false" customHeight="true" outlineLevel="0" collapsed="false">
      <c r="A264" s="83"/>
      <c r="G264" s="2" t="n">
        <f aca="false">IF(L264="No",0,IF(AND(L264="Si",M264="Si"),(I264-(E264+F264))/2,IF(L264="Si",(I264-(E264+F264)),0)))</f>
        <v>0</v>
      </c>
      <c r="H264" s="2" t="n">
        <f aca="false">IF(M264="No",0,IF(AND(L264="Si",M264="Si"),(I264-(E264+F264))/2,IF(M264="Si",(I264-(E264+F264)),0)))</f>
        <v>0</v>
      </c>
      <c r="M264" s="77" t="s">
        <v>74</v>
      </c>
      <c r="P264" s="1" t="n">
        <f aca="false">DAY(A264)</f>
        <v>30</v>
      </c>
    </row>
    <row r="265" customFormat="false" ht="15" hidden="false" customHeight="true" outlineLevel="0" collapsed="false">
      <c r="A265" s="83"/>
      <c r="G265" s="2" t="n">
        <f aca="false">IF(L265="No",0,IF(AND(L265="Si",M265="Si"),(I265-(E265+F265))/2,IF(L265="Si",(I265-(E265+F265)),0)))</f>
        <v>0</v>
      </c>
      <c r="H265" s="2" t="n">
        <f aca="false">IF(M265="No",0,IF(AND(L265="Si",M265="Si"),(I265-(E265+F265))/2,IF(M265="Si",(I265-(E265+F265)),0)))</f>
        <v>0</v>
      </c>
      <c r="M265" s="77" t="s">
        <v>74</v>
      </c>
      <c r="P265" s="1" t="n">
        <f aca="false">DAY(A265)</f>
        <v>30</v>
      </c>
    </row>
    <row r="266" customFormat="false" ht="15" hidden="false" customHeight="true" outlineLevel="0" collapsed="false">
      <c r="A266" s="83"/>
      <c r="G266" s="2" t="n">
        <f aca="false">IF(L266="No",0,IF(AND(L266="Si",M266="Si"),(I266-(E266+F266))/2,IF(L266="Si",(I266-(E266+F266)),0)))</f>
        <v>0</v>
      </c>
      <c r="H266" s="2" t="n">
        <f aca="false">IF(M266="No",0,IF(AND(L266="Si",M266="Si"),(I266-(E266+F266))/2,IF(M266="Si",(I266-(E266+F266)),0)))</f>
        <v>0</v>
      </c>
      <c r="M266" s="77" t="s">
        <v>74</v>
      </c>
      <c r="P266" s="1" t="n">
        <f aca="false">DAY(A266)</f>
        <v>30</v>
      </c>
    </row>
    <row r="267" customFormat="false" ht="15" hidden="false" customHeight="true" outlineLevel="0" collapsed="false">
      <c r="A267" s="83"/>
      <c r="G267" s="2" t="n">
        <f aca="false">IF(L267="No",0,IF(AND(L267="Si",M267="Si"),(I267-(E267+F267))/2,IF(L267="Si",(I267-(E267+F267)),0)))</f>
        <v>0</v>
      </c>
      <c r="H267" s="2" t="n">
        <f aca="false">IF(M267="No",0,IF(AND(L267="Si",M267="Si"),(I267-(E267+F267))/2,IF(M267="Si",(I267-(E267+F267)),0)))</f>
        <v>0</v>
      </c>
      <c r="M267" s="77" t="s">
        <v>74</v>
      </c>
      <c r="P267" s="1" t="n">
        <f aca="false">DAY(A267)</f>
        <v>30</v>
      </c>
    </row>
    <row r="268" customFormat="false" ht="15" hidden="false" customHeight="true" outlineLevel="0" collapsed="false">
      <c r="A268" s="83"/>
      <c r="G268" s="2" t="n">
        <f aca="false">IF(L268="No",0,IF(AND(L268="Si",M268="Si"),(I268-(E268+F268))/2,IF(L268="Si",(I268-(E268+F268)),0)))</f>
        <v>0</v>
      </c>
      <c r="H268" s="2" t="n">
        <f aca="false">IF(M268="No",0,IF(AND(L268="Si",M268="Si"),(I268-(E268+F268))/2,IF(M268="Si",(I268-(E268+F268)),0)))</f>
        <v>0</v>
      </c>
      <c r="M268" s="77" t="s">
        <v>74</v>
      </c>
      <c r="P268" s="1" t="n">
        <f aca="false">DAY(A268)</f>
        <v>30</v>
      </c>
    </row>
    <row r="269" customFormat="false" ht="15" hidden="false" customHeight="true" outlineLevel="0" collapsed="false">
      <c r="A269" s="83"/>
      <c r="G269" s="2" t="n">
        <f aca="false">IF(L269="No",0,IF(AND(L269="Si",M269="Si"),(I269-(E269+F269))/2,IF(L269="Si",(I269-(E269+F269)),0)))</f>
        <v>0</v>
      </c>
      <c r="H269" s="2" t="n">
        <f aca="false">IF(M269="No",0,IF(AND(L269="Si",M269="Si"),(I269-(E269+F269))/2,IF(M269="Si",(I269-(E269+F269)),0)))</f>
        <v>0</v>
      </c>
      <c r="M269" s="77" t="s">
        <v>74</v>
      </c>
      <c r="P269" s="1" t="n">
        <f aca="false">DAY(A269)</f>
        <v>30</v>
      </c>
    </row>
    <row r="270" customFormat="false" ht="15" hidden="false" customHeight="true" outlineLevel="0" collapsed="false">
      <c r="A270" s="83"/>
      <c r="G270" s="2" t="n">
        <f aca="false">IF(L270="No",0,IF(AND(L270="Si",M270="Si"),(I270-(E270+F270))/2,IF(L270="Si",(I270-(E270+F270)),0)))</f>
        <v>0</v>
      </c>
      <c r="H270" s="2" t="n">
        <f aca="false">IF(M270="No",0,IF(AND(L270="Si",M270="Si"),(I270-(E270+F270))/2,IF(M270="Si",(I270-(E270+F270)),0)))</f>
        <v>0</v>
      </c>
      <c r="M270" s="77" t="s">
        <v>74</v>
      </c>
      <c r="P270" s="1" t="n">
        <f aca="false">DAY(A270)</f>
        <v>30</v>
      </c>
    </row>
    <row r="271" customFormat="false" ht="15" hidden="false" customHeight="true" outlineLevel="0" collapsed="false">
      <c r="A271" s="83"/>
      <c r="G271" s="2" t="n">
        <f aca="false">IF(L271="No",0,IF(AND(L271="Si",M271="Si"),(I271-(E271+F271))/2,IF(L271="Si",(I271-(E271+F271)),0)))</f>
        <v>0</v>
      </c>
      <c r="H271" s="2" t="n">
        <f aca="false">IF(M271="No",0,IF(AND(L271="Si",M271="Si"),(I271-(E271+F271))/2,IF(M271="Si",(I271-(E271+F271)),0)))</f>
        <v>0</v>
      </c>
      <c r="M271" s="77" t="s">
        <v>74</v>
      </c>
      <c r="P271" s="1" t="n">
        <f aca="false">DAY(A271)</f>
        <v>30</v>
      </c>
    </row>
    <row r="272" customFormat="false" ht="15" hidden="false" customHeight="true" outlineLevel="0" collapsed="false">
      <c r="A272" s="83"/>
      <c r="G272" s="2" t="n">
        <f aca="false">IF(L272="No",0,IF(AND(L272="Si",M272="Si"),(I272-(E272+F272))/2,IF(L272="Si",(I272-(E272+F272)),0)))</f>
        <v>0</v>
      </c>
      <c r="H272" s="2" t="n">
        <f aca="false">IF(M272="No",0,IF(AND(L272="Si",M272="Si"),(I272-(E272+F272))/2,IF(M272="Si",(I272-(E272+F272)),0)))</f>
        <v>0</v>
      </c>
      <c r="M272" s="77" t="s">
        <v>74</v>
      </c>
      <c r="P272" s="1" t="n">
        <f aca="false">DAY(A272)</f>
        <v>30</v>
      </c>
    </row>
    <row r="273" customFormat="false" ht="15" hidden="false" customHeight="true" outlineLevel="0" collapsed="false">
      <c r="A273" s="83"/>
      <c r="G273" s="2" t="n">
        <f aca="false">IF(L273="No",0,IF(AND(L273="Si",M273="Si"),(I273-(E273+F273))/2,IF(L273="Si",(I273-(E273+F273)),0)))</f>
        <v>0</v>
      </c>
      <c r="H273" s="2" t="n">
        <f aca="false">IF(M273="No",0,IF(AND(L273="Si",M273="Si"),(I273-(E273+F273))/2,IF(M273="Si",(I273-(E273+F273)),0)))</f>
        <v>0</v>
      </c>
      <c r="M273" s="77" t="s">
        <v>74</v>
      </c>
      <c r="P273" s="1" t="n">
        <f aca="false">DAY(A273)</f>
        <v>30</v>
      </c>
    </row>
    <row r="274" customFormat="false" ht="15" hidden="false" customHeight="true" outlineLevel="0" collapsed="false">
      <c r="A274" s="83"/>
      <c r="G274" s="2" t="n">
        <f aca="false">IF(L274="No",0,IF(AND(L274="Si",M274="Si"),(I274-(E274+F274))/2,IF(L274="Si",(I274-(E274+F274)),0)))</f>
        <v>0</v>
      </c>
      <c r="H274" s="2" t="n">
        <f aca="false">IF(M274="No",0,IF(AND(L274="Si",M274="Si"),(I274-(E274+F274))/2,IF(M274="Si",(I274-(E274+F274)),0)))</f>
        <v>0</v>
      </c>
      <c r="M274" s="77" t="s">
        <v>74</v>
      </c>
      <c r="P274" s="1" t="n">
        <f aca="false">DAY(A274)</f>
        <v>30</v>
      </c>
    </row>
    <row r="275" customFormat="false" ht="15" hidden="false" customHeight="true" outlineLevel="0" collapsed="false">
      <c r="A275" s="83"/>
      <c r="G275" s="2" t="n">
        <f aca="false">IF(L275="No",0,IF(AND(L275="Si",M275="Si"),(I275-(E275+F275))/2,IF(L275="Si",(I275-(E275+F275)),0)))</f>
        <v>0</v>
      </c>
      <c r="H275" s="2" t="n">
        <f aca="false">IF(M275="No",0,IF(AND(L275="Si",M275="Si"),(I275-(E275+F275))/2,IF(M275="Si",(I275-(E275+F275)),0)))</f>
        <v>0</v>
      </c>
      <c r="M275" s="77" t="s">
        <v>74</v>
      </c>
      <c r="P275" s="1" t="n">
        <f aca="false">DAY(A275)</f>
        <v>30</v>
      </c>
    </row>
    <row r="276" customFormat="false" ht="15" hidden="false" customHeight="true" outlineLevel="0" collapsed="false">
      <c r="A276" s="83"/>
      <c r="G276" s="2" t="n">
        <f aca="false">IF(L276="No",0,IF(AND(L276="Si",M276="Si"),(I276-(E276+F276))/2,IF(L276="Si",(I276-(E276+F276)),0)))</f>
        <v>0</v>
      </c>
      <c r="H276" s="2" t="n">
        <f aca="false">IF(M276="No",0,IF(AND(L276="Si",M276="Si"),(I276-(E276+F276))/2,IF(M276="Si",(I276-(E276+F276)),0)))</f>
        <v>0</v>
      </c>
      <c r="M276" s="77" t="s">
        <v>74</v>
      </c>
      <c r="P276" s="1" t="n">
        <f aca="false">DAY(A276)</f>
        <v>30</v>
      </c>
    </row>
    <row r="277" customFormat="false" ht="15" hidden="false" customHeight="true" outlineLevel="0" collapsed="false">
      <c r="A277" s="83"/>
      <c r="G277" s="2" t="n">
        <f aca="false">IF(L277="No",0,IF(AND(L277="Si",M277="Si"),(I277-(E277+F277))/2,IF(L277="Si",(I277-(E277+F277)),0)))</f>
        <v>0</v>
      </c>
      <c r="H277" s="2" t="n">
        <f aca="false">IF(M277="No",0,IF(AND(L277="Si",M277="Si"),(I277-(E277+F277))/2,IF(M277="Si",(I277-(E277+F277)),0)))</f>
        <v>0</v>
      </c>
      <c r="M277" s="77" t="s">
        <v>74</v>
      </c>
      <c r="P277" s="1" t="n">
        <f aca="false">DAY(A277)</f>
        <v>30</v>
      </c>
    </row>
    <row r="278" customFormat="false" ht="15" hidden="false" customHeight="true" outlineLevel="0" collapsed="false">
      <c r="A278" s="83"/>
      <c r="G278" s="2" t="n">
        <f aca="false">IF(L278="No",0,IF(AND(L278="Si",M278="Si"),(I278-(E278+F278))/2,IF(L278="Si",(I278-(E278+F278)),0)))</f>
        <v>0</v>
      </c>
      <c r="H278" s="2" t="n">
        <f aca="false">IF(M278="No",0,IF(AND(L278="Si",M278="Si"),(I278-(E278+F278))/2,IF(M278="Si",(I278-(E278+F278)),0)))</f>
        <v>0</v>
      </c>
      <c r="M278" s="77" t="s">
        <v>74</v>
      </c>
      <c r="P278" s="1" t="n">
        <f aca="false">DAY(A278)</f>
        <v>30</v>
      </c>
    </row>
    <row r="279" customFormat="false" ht="15" hidden="false" customHeight="true" outlineLevel="0" collapsed="false">
      <c r="A279" s="83"/>
      <c r="G279" s="2" t="n">
        <f aca="false">IF(L279="No",0,IF(AND(L279="Si",M279="Si"),(I279-(E279+F279))/2,IF(L279="Si",(I279-(E279+F279)),0)))</f>
        <v>0</v>
      </c>
      <c r="H279" s="2" t="n">
        <f aca="false">IF(M279="No",0,IF(AND(L279="Si",M279="Si"),(I279-(E279+F279))/2,IF(M279="Si",(I279-(E279+F279)),0)))</f>
        <v>0</v>
      </c>
      <c r="M279" s="77" t="s">
        <v>74</v>
      </c>
      <c r="P279" s="1" t="n">
        <f aca="false">DAY(A279)</f>
        <v>30</v>
      </c>
    </row>
    <row r="280" customFormat="false" ht="15" hidden="false" customHeight="true" outlineLevel="0" collapsed="false">
      <c r="A280" s="83"/>
      <c r="G280" s="2" t="n">
        <f aca="false">IF(L280="No",0,IF(AND(L280="Si",M280="Si"),(I280-(E280+F280))/2,IF(L280="Si",(I280-(E280+F280)),0)))</f>
        <v>0</v>
      </c>
      <c r="H280" s="2" t="n">
        <f aca="false">IF(M280="No",0,IF(AND(L280="Si",M280="Si"),(I280-(E280+F280))/2,IF(M280="Si",(I280-(E280+F280)),0)))</f>
        <v>0</v>
      </c>
      <c r="M280" s="77" t="s">
        <v>74</v>
      </c>
      <c r="P280" s="1" t="n">
        <f aca="false">DAY(A280)</f>
        <v>30</v>
      </c>
    </row>
    <row r="281" customFormat="false" ht="15" hidden="false" customHeight="true" outlineLevel="0" collapsed="false">
      <c r="A281" s="83"/>
      <c r="G281" s="2" t="n">
        <f aca="false">IF(L281="No",0,IF(AND(L281="Si",M281="Si"),(I281-(E281+F281))/2,IF(L281="Si",(I281-(E281+F281)),0)))</f>
        <v>0</v>
      </c>
      <c r="H281" s="2" t="n">
        <f aca="false">IF(M281="No",0,IF(AND(L281="Si",M281="Si"),(I281-(E281+F281))/2,IF(M281="Si",(I281-(E281+F281)),0)))</f>
        <v>0</v>
      </c>
      <c r="M281" s="77" t="s">
        <v>74</v>
      </c>
      <c r="P281" s="1" t="n">
        <f aca="false">DAY(A281)</f>
        <v>30</v>
      </c>
    </row>
    <row r="282" customFormat="false" ht="15" hidden="false" customHeight="true" outlineLevel="0" collapsed="false">
      <c r="A282" s="83"/>
      <c r="G282" s="2" t="n">
        <f aca="false">IF(L282="No",0,IF(AND(L282="Si",M282="Si"),(I282-(E282+F282))/2,IF(L282="Si",(I282-(E282+F282)),0)))</f>
        <v>0</v>
      </c>
      <c r="H282" s="2" t="n">
        <f aca="false">IF(M282="No",0,IF(AND(L282="Si",M282="Si"),(I282-(E282+F282))/2,IF(M282="Si",(I282-(E282+F282)),0)))</f>
        <v>0</v>
      </c>
      <c r="M282" s="77" t="s">
        <v>74</v>
      </c>
      <c r="P282" s="1" t="n">
        <f aca="false">DAY(A282)</f>
        <v>30</v>
      </c>
    </row>
    <row r="283" customFormat="false" ht="15" hidden="false" customHeight="true" outlineLevel="0" collapsed="false">
      <c r="A283" s="83"/>
      <c r="G283" s="2" t="n">
        <f aca="false">IF(L283="No",0,IF(AND(L283="Si",M283="Si"),(I283-(E283+F283))/2,IF(L283="Si",(I283-(E283+F283)),0)))</f>
        <v>0</v>
      </c>
      <c r="H283" s="2" t="n">
        <f aca="false">IF(M283="No",0,IF(AND(L283="Si",M283="Si"),(I283-(E283+F283))/2,IF(M283="Si",(I283-(E283+F283)),0)))</f>
        <v>0</v>
      </c>
      <c r="M283" s="77" t="s">
        <v>74</v>
      </c>
      <c r="P283" s="1" t="n">
        <f aca="false">DAY(A283)</f>
        <v>30</v>
      </c>
    </row>
    <row r="284" customFormat="false" ht="15" hidden="false" customHeight="true" outlineLevel="0" collapsed="false">
      <c r="A284" s="83"/>
      <c r="G284" s="2" t="n">
        <f aca="false">IF(L284="No",0,IF(AND(L284="Si",M284="Si"),(I284-(E284+F284))/2,IF(L284="Si",(I284-(E284+F284)),0)))</f>
        <v>0</v>
      </c>
      <c r="H284" s="2" t="n">
        <f aca="false">IF(M284="No",0,IF(AND(L284="Si",M284="Si"),(I284-(E284+F284))/2,IF(M284="Si",(I284-(E284+F284)),0)))</f>
        <v>0</v>
      </c>
      <c r="M284" s="77" t="s">
        <v>74</v>
      </c>
      <c r="P284" s="1" t="n">
        <f aca="false">DAY(A284)</f>
        <v>30</v>
      </c>
    </row>
    <row r="285" customFormat="false" ht="15" hidden="false" customHeight="true" outlineLevel="0" collapsed="false">
      <c r="A285" s="83"/>
      <c r="G285" s="2" t="n">
        <f aca="false">IF(L285="No",0,IF(AND(L285="Si",M285="Si"),(I285-(E285+F285))/2,IF(L285="Si",(I285-(E285+F285)),0)))</f>
        <v>0</v>
      </c>
      <c r="H285" s="2" t="n">
        <f aca="false">IF(M285="No",0,IF(AND(L285="Si",M285="Si"),(I285-(E285+F285))/2,IF(M285="Si",(I285-(E285+F285)),0)))</f>
        <v>0</v>
      </c>
      <c r="M285" s="77" t="s">
        <v>74</v>
      </c>
      <c r="P285" s="1" t="n">
        <f aca="false">DAY(A285)</f>
        <v>30</v>
      </c>
    </row>
    <row r="286" customFormat="false" ht="15" hidden="false" customHeight="true" outlineLevel="0" collapsed="false">
      <c r="A286" s="83"/>
      <c r="G286" s="2" t="n">
        <f aca="false">IF(L286="No",0,IF(AND(L286="Si",M286="Si"),(I286-(E286+F286))/2,IF(L286="Si",(I286-(E286+F286)),0)))</f>
        <v>0</v>
      </c>
      <c r="H286" s="2" t="n">
        <f aca="false">IF(M286="No",0,IF(AND(L286="Si",M286="Si"),(I286-(E286+F286))/2,IF(M286="Si",(I286-(E286+F286)),0)))</f>
        <v>0</v>
      </c>
      <c r="M286" s="77" t="s">
        <v>74</v>
      </c>
      <c r="P286" s="1" t="n">
        <f aca="false">DAY(A286)</f>
        <v>30</v>
      </c>
    </row>
    <row r="287" customFormat="false" ht="15" hidden="false" customHeight="true" outlineLevel="0" collapsed="false">
      <c r="A287" s="83"/>
      <c r="G287" s="2" t="n">
        <f aca="false">IF(L287="No",0,IF(AND(L287="Si",M287="Si"),(I287-(E287+F287))/2,IF(L287="Si",(I287-(E287+F287)),0)))</f>
        <v>0</v>
      </c>
      <c r="H287" s="2" t="n">
        <f aca="false">IF(M287="No",0,IF(AND(L287="Si",M287="Si"),(I287-(E287+F287))/2,IF(M287="Si",(I287-(E287+F287)),0)))</f>
        <v>0</v>
      </c>
      <c r="M287" s="77" t="s">
        <v>74</v>
      </c>
      <c r="P287" s="1" t="n">
        <f aca="false">DAY(A287)</f>
        <v>30</v>
      </c>
    </row>
    <row r="288" customFormat="false" ht="15" hidden="false" customHeight="true" outlineLevel="0" collapsed="false">
      <c r="A288" s="83"/>
      <c r="G288" s="2" t="n">
        <f aca="false">IF(L288="No",0,IF(AND(L288="Si",M288="Si"),(I288-(E288+F288))/2,IF(L288="Si",(I288-(E288+F288)),0)))</f>
        <v>0</v>
      </c>
      <c r="H288" s="2" t="n">
        <f aca="false">IF(M288="No",0,IF(AND(L288="Si",M288="Si"),(I288-(E288+F288))/2,IF(M288="Si",(I288-(E288+F288)),0)))</f>
        <v>0</v>
      </c>
      <c r="M288" s="77" t="s">
        <v>74</v>
      </c>
      <c r="P288" s="1" t="n">
        <f aca="false">DAY(A288)</f>
        <v>30</v>
      </c>
    </row>
    <row r="289" customFormat="false" ht="15" hidden="false" customHeight="true" outlineLevel="0" collapsed="false">
      <c r="A289" s="83"/>
      <c r="G289" s="2" t="n">
        <f aca="false">IF(L289="No",0,IF(AND(L289="Si",M289="Si"),(I289-(E289+F289))/2,IF(L289="Si",(I289-(E289+F289)),0)))</f>
        <v>0</v>
      </c>
      <c r="H289" s="2" t="n">
        <f aca="false">IF(M289="No",0,IF(AND(L289="Si",M289="Si"),(I289-(E289+F289))/2,IF(M289="Si",(I289-(E289+F289)),0)))</f>
        <v>0</v>
      </c>
      <c r="M289" s="77" t="s">
        <v>74</v>
      </c>
      <c r="P289" s="1" t="n">
        <f aca="false">DAY(A289)</f>
        <v>30</v>
      </c>
    </row>
    <row r="290" customFormat="false" ht="15" hidden="false" customHeight="true" outlineLevel="0" collapsed="false">
      <c r="A290" s="83"/>
      <c r="G290" s="2" t="n">
        <f aca="false">IF(L290="No",0,IF(AND(L290="Si",M290="Si"),(I290-(E290+F290))/2,IF(L290="Si",(I290-(E290+F290)),0)))</f>
        <v>0</v>
      </c>
      <c r="H290" s="2" t="n">
        <f aca="false">IF(M290="No",0,IF(AND(L290="Si",M290="Si"),(I290-(E290+F290))/2,IF(M290="Si",(I290-(E290+F290)),0)))</f>
        <v>0</v>
      </c>
      <c r="M290" s="77" t="s">
        <v>74</v>
      </c>
      <c r="P290" s="1" t="n">
        <f aca="false">DAY(A290)</f>
        <v>30</v>
      </c>
    </row>
    <row r="291" customFormat="false" ht="15" hidden="false" customHeight="true" outlineLevel="0" collapsed="false">
      <c r="A291" s="83"/>
      <c r="G291" s="2" t="n">
        <f aca="false">IF(L291="No",0,IF(AND(L291="Si",M291="Si"),(I291-(E291+F291))/2,IF(L291="Si",(I291-(E291+F291)),0)))</f>
        <v>0</v>
      </c>
      <c r="H291" s="2" t="n">
        <f aca="false">IF(M291="No",0,IF(AND(L291="Si",M291="Si"),(I291-(E291+F291))/2,IF(M291="Si",(I291-(E291+F291)),0)))</f>
        <v>0</v>
      </c>
      <c r="M291" s="77" t="s">
        <v>74</v>
      </c>
      <c r="P291" s="1" t="n">
        <f aca="false">DAY(A291)</f>
        <v>30</v>
      </c>
    </row>
    <row r="292" customFormat="false" ht="15" hidden="false" customHeight="true" outlineLevel="0" collapsed="false">
      <c r="A292" s="83"/>
      <c r="G292" s="2" t="n">
        <f aca="false">IF(L292="No",0,IF(AND(L292="Si",M292="Si"),(I292-(E292+F292))/2,IF(L292="Si",(I292-(E292+F292)),0)))</f>
        <v>0</v>
      </c>
      <c r="H292" s="2" t="n">
        <f aca="false">IF(M292="No",0,IF(AND(L292="Si",M292="Si"),(I292-(E292+F292))/2,IF(M292="Si",(I292-(E292+F292)),0)))</f>
        <v>0</v>
      </c>
      <c r="M292" s="77" t="s">
        <v>74</v>
      </c>
      <c r="P292" s="1" t="n">
        <f aca="false">DAY(A292)</f>
        <v>30</v>
      </c>
    </row>
    <row r="293" customFormat="false" ht="15" hidden="false" customHeight="true" outlineLevel="0" collapsed="false">
      <c r="A293" s="83"/>
      <c r="G293" s="2" t="n">
        <f aca="false">IF(L293="No",0,IF(AND(L293="Si",M293="Si"),(I293-(E293+F293))/2,IF(L293="Si",(I293-(E293+F293)),0)))</f>
        <v>0</v>
      </c>
      <c r="H293" s="2" t="n">
        <f aca="false">IF(M293="No",0,IF(AND(L293="Si",M293="Si"),(I293-(E293+F293))/2,IF(M293="Si",(I293-(E293+F293)),0)))</f>
        <v>0</v>
      </c>
      <c r="M293" s="77" t="s">
        <v>74</v>
      </c>
      <c r="P293" s="1" t="n">
        <f aca="false">DAY(A293)</f>
        <v>30</v>
      </c>
    </row>
    <row r="294" customFormat="false" ht="15" hidden="false" customHeight="true" outlineLevel="0" collapsed="false">
      <c r="A294" s="83"/>
      <c r="G294" s="2" t="n">
        <f aca="false">IF(L294="No",0,IF(AND(L294="Si",M294="Si"),(I294-(E294+F294))/2,IF(L294="Si",(I294-(E294+F294)),0)))</f>
        <v>0</v>
      </c>
      <c r="H294" s="2" t="n">
        <f aca="false">IF(M294="No",0,IF(AND(L294="Si",M294="Si"),(I294-(E294+F294))/2,IF(M294="Si",(I294-(E294+F294)),0)))</f>
        <v>0</v>
      </c>
      <c r="M294" s="77" t="s">
        <v>74</v>
      </c>
      <c r="P294" s="1" t="n">
        <f aca="false">DAY(A294)</f>
        <v>30</v>
      </c>
    </row>
    <row r="295" customFormat="false" ht="15" hidden="false" customHeight="true" outlineLevel="0" collapsed="false">
      <c r="A295" s="83"/>
      <c r="G295" s="2" t="n">
        <f aca="false">IF(L295="No",0,IF(AND(L295="Si",M295="Si"),(I295-(E295+F295))/2,IF(L295="Si",(I295-(E295+F295)),0)))</f>
        <v>0</v>
      </c>
      <c r="H295" s="2" t="n">
        <f aca="false">IF(M295="No",0,IF(AND(L295="Si",M295="Si"),(I295-(E295+F295))/2,IF(M295="Si",(I295-(E295+F295)),0)))</f>
        <v>0</v>
      </c>
      <c r="M295" s="77" t="s">
        <v>74</v>
      </c>
      <c r="P295" s="1" t="n">
        <f aca="false">DAY(A295)</f>
        <v>30</v>
      </c>
    </row>
    <row r="296" customFormat="false" ht="15" hidden="false" customHeight="true" outlineLevel="0" collapsed="false">
      <c r="A296" s="83"/>
      <c r="G296" s="2" t="n">
        <f aca="false">IF(L296="No",0,IF(AND(L296="Si",M296="Si"),(I296-(E296+F296))/2,IF(L296="Si",(I296-(E296+F296)),0)))</f>
        <v>0</v>
      </c>
      <c r="H296" s="2" t="n">
        <f aca="false">IF(M296="No",0,IF(AND(L296="Si",M296="Si"),(I296-(E296+F296))/2,IF(M296="Si",(I296-(E296+F296)),0)))</f>
        <v>0</v>
      </c>
      <c r="M296" s="77" t="s">
        <v>74</v>
      </c>
      <c r="P296" s="1" t="n">
        <f aca="false">DAY(A296)</f>
        <v>30</v>
      </c>
    </row>
    <row r="297" customFormat="false" ht="15" hidden="false" customHeight="true" outlineLevel="0" collapsed="false">
      <c r="A297" s="83"/>
      <c r="G297" s="2" t="n">
        <f aca="false">IF(L297="No",0,IF(AND(L297="Si",M297="Si"),(I297-(E297+F297))/2,IF(L297="Si",(I297-(E297+F297)),0)))</f>
        <v>0</v>
      </c>
      <c r="H297" s="2" t="n">
        <f aca="false">IF(M297="No",0,IF(AND(L297="Si",M297="Si"),(I297-(E297+F297))/2,IF(M297="Si",(I297-(E297+F297)),0)))</f>
        <v>0</v>
      </c>
      <c r="M297" s="77" t="s">
        <v>74</v>
      </c>
      <c r="P297" s="1" t="n">
        <f aca="false">DAY(A297)</f>
        <v>30</v>
      </c>
    </row>
    <row r="298" customFormat="false" ht="15" hidden="false" customHeight="true" outlineLevel="0" collapsed="false">
      <c r="A298" s="83"/>
      <c r="G298" s="2" t="n">
        <f aca="false">IF(L298="No",0,IF(AND(L298="Si",M298="Si"),(I298-(E298+F298))/2,IF(L298="Si",(I298-(E298+F298)),0)))</f>
        <v>0</v>
      </c>
      <c r="H298" s="2" t="n">
        <f aca="false">IF(M298="No",0,IF(AND(L298="Si",M298="Si"),(I298-(E298+F298))/2,IF(M298="Si",(I298-(E298+F298)),0)))</f>
        <v>0</v>
      </c>
      <c r="M298" s="77" t="s">
        <v>74</v>
      </c>
      <c r="P298" s="1" t="n">
        <f aca="false">DAY(A298)</f>
        <v>30</v>
      </c>
    </row>
    <row r="299" customFormat="false" ht="15" hidden="false" customHeight="true" outlineLevel="0" collapsed="false">
      <c r="A299" s="83"/>
      <c r="G299" s="2" t="n">
        <f aca="false">IF(L299="No",0,IF(AND(L299="Si",M299="Si"),(I299-(E299+F299))/2,IF(L299="Si",(I299-(E299+F299)),0)))</f>
        <v>0</v>
      </c>
      <c r="H299" s="2" t="n">
        <f aca="false">IF(M299="No",0,IF(AND(L299="Si",M299="Si"),(I299-(E299+F299))/2,IF(M299="Si",(I299-(E299+F299)),0)))</f>
        <v>0</v>
      </c>
      <c r="M299" s="77" t="s">
        <v>74</v>
      </c>
      <c r="P299" s="1" t="n">
        <f aca="false">DAY(A299)</f>
        <v>30</v>
      </c>
    </row>
    <row r="300" customFormat="false" ht="15" hidden="false" customHeight="true" outlineLevel="0" collapsed="false">
      <c r="A300" s="83"/>
      <c r="G300" s="2" t="n">
        <f aca="false">IF(L300="No",0,IF(AND(L300="Si",M300="Si"),(I300-(E300+F300))/2,IF(L300="Si",(I300-(E300+F300)),0)))</f>
        <v>0</v>
      </c>
      <c r="H300" s="2" t="n">
        <f aca="false">IF(M300="No",0,IF(AND(L300="Si",M300="Si"),(I300-(E300+F300))/2,IF(M300="Si",(I300-(E300+F300)),0)))</f>
        <v>0</v>
      </c>
      <c r="M300" s="77" t="s">
        <v>74</v>
      </c>
      <c r="P300" s="1" t="n">
        <f aca="false">DAY(A300)</f>
        <v>30</v>
      </c>
    </row>
    <row r="301" customFormat="false" ht="15" hidden="false" customHeight="true" outlineLevel="0" collapsed="false">
      <c r="A301" s="83"/>
      <c r="G301" s="2" t="n">
        <f aca="false">IF(L301="No",0,IF(AND(L301="Si",M301="Si"),(I301-(E301+F301))/2,IF(L301="Si",(I301-(E301+F301)),0)))</f>
        <v>0</v>
      </c>
      <c r="H301" s="2" t="n">
        <f aca="false">IF(M301="No",0,IF(AND(L301="Si",M301="Si"),(I301-(E301+F301))/2,IF(M301="Si",(I301-(E301+F301)),0)))</f>
        <v>0</v>
      </c>
      <c r="M301" s="77" t="s">
        <v>74</v>
      </c>
      <c r="P301" s="1" t="n">
        <f aca="false">DAY(A301)</f>
        <v>30</v>
      </c>
    </row>
    <row r="302" customFormat="false" ht="15" hidden="false" customHeight="true" outlineLevel="0" collapsed="false">
      <c r="A302" s="83"/>
      <c r="G302" s="2" t="n">
        <f aca="false">IF(L302="No",0,IF(AND(L302="Si",M302="Si"),(I302-(E302+F302))/2,IF(L302="Si",(I302-(E302+F302)),0)))</f>
        <v>0</v>
      </c>
      <c r="H302" s="2" t="n">
        <f aca="false">IF(M302="No",0,IF(AND(L302="Si",M302="Si"),(I302-(E302+F302))/2,IF(M302="Si",(I302-(E302+F302)),0)))</f>
        <v>0</v>
      </c>
      <c r="M302" s="77" t="s">
        <v>74</v>
      </c>
      <c r="P302" s="1" t="n">
        <f aca="false">DAY(A302)</f>
        <v>30</v>
      </c>
    </row>
    <row r="303" customFormat="false" ht="15" hidden="false" customHeight="true" outlineLevel="0" collapsed="false">
      <c r="A303" s="83"/>
      <c r="G303" s="2" t="n">
        <f aca="false">IF(L303="No",0,IF(AND(L303="Si",M303="Si"),(I303-(E303+F303))/2,IF(L303="Si",(I303-(E303+F303)),0)))</f>
        <v>0</v>
      </c>
      <c r="H303" s="2" t="n">
        <f aca="false">IF(M303="No",0,IF(AND(L303="Si",M303="Si"),(I303-(E303+F303))/2,IF(M303="Si",(I303-(E303+F303)),0)))</f>
        <v>0</v>
      </c>
      <c r="M303" s="77" t="s">
        <v>74</v>
      </c>
      <c r="P303" s="1" t="n">
        <f aca="false">DAY(A303)</f>
        <v>30</v>
      </c>
    </row>
    <row r="304" customFormat="false" ht="15" hidden="false" customHeight="true" outlineLevel="0" collapsed="false">
      <c r="A304" s="83"/>
      <c r="G304" s="2" t="n">
        <f aca="false">IF(L304="No",0,IF(AND(L304="Si",M304="Si"),(I304-(E304+F304))/2,IF(L304="Si",(I304-(E304+F304)),0)))</f>
        <v>0</v>
      </c>
      <c r="H304" s="2" t="n">
        <f aca="false">IF(M304="No",0,IF(AND(L304="Si",M304="Si"),(I304-(E304+F304))/2,IF(M304="Si",(I304-(E304+F304)),0)))</f>
        <v>0</v>
      </c>
      <c r="M304" s="77" t="s">
        <v>74</v>
      </c>
      <c r="P304" s="1" t="n">
        <f aca="false">DAY(A304)</f>
        <v>30</v>
      </c>
    </row>
    <row r="305" customFormat="false" ht="15" hidden="false" customHeight="true" outlineLevel="0" collapsed="false">
      <c r="A305" s="83"/>
      <c r="G305" s="2" t="n">
        <f aca="false">IF(L305="No",0,IF(AND(L305="Si",M305="Si"),(I305-(E305+F305))/2,IF(L305="Si",(I305-(E305+F305)),0)))</f>
        <v>0</v>
      </c>
      <c r="H305" s="2" t="n">
        <f aca="false">IF(M305="No",0,IF(AND(L305="Si",M305="Si"),(I305-(E305+F305))/2,IF(M305="Si",(I305-(E305+F305)),0)))</f>
        <v>0</v>
      </c>
      <c r="M305" s="77" t="s">
        <v>74</v>
      </c>
      <c r="P305" s="1" t="n">
        <f aca="false">DAY(A305)</f>
        <v>30</v>
      </c>
    </row>
    <row r="306" customFormat="false" ht="15" hidden="false" customHeight="true" outlineLevel="0" collapsed="false">
      <c r="A306" s="83"/>
      <c r="G306" s="2" t="n">
        <f aca="false">IF(L306="No",0,IF(AND(L306="Si",M306="Si"),(I306-(E306+F306))/2,IF(L306="Si",(I306-(E306+F306)),0)))</f>
        <v>0</v>
      </c>
      <c r="H306" s="2" t="n">
        <f aca="false">IF(M306="No",0,IF(AND(L306="Si",M306="Si"),(I306-(E306+F306))/2,IF(M306="Si",(I306-(E306+F306)),0)))</f>
        <v>0</v>
      </c>
      <c r="M306" s="77" t="s">
        <v>74</v>
      </c>
      <c r="P306" s="1" t="n">
        <f aca="false">DAY(A306)</f>
        <v>30</v>
      </c>
    </row>
    <row r="307" customFormat="false" ht="15" hidden="false" customHeight="true" outlineLevel="0" collapsed="false">
      <c r="A307" s="83"/>
      <c r="G307" s="2" t="n">
        <f aca="false">IF(L307="No",0,IF(AND(L307="Si",M307="Si"),(I307-(E307+F307))/2,IF(L307="Si",(I307-(E307+F307)),0)))</f>
        <v>0</v>
      </c>
      <c r="H307" s="2" t="n">
        <f aca="false">IF(M307="No",0,IF(AND(L307="Si",M307="Si"),(I307-(E307+F307))/2,IF(M307="Si",(I307-(E307+F307)),0)))</f>
        <v>0</v>
      </c>
      <c r="M307" s="77" t="s">
        <v>74</v>
      </c>
      <c r="P307" s="1" t="n">
        <f aca="false">DAY(A307)</f>
        <v>30</v>
      </c>
    </row>
    <row r="308" customFormat="false" ht="15" hidden="false" customHeight="true" outlineLevel="0" collapsed="false">
      <c r="A308" s="83"/>
      <c r="G308" s="2" t="n">
        <f aca="false">IF(L308="No",0,IF(AND(L308="Si",M308="Si"),(I308-(E308+F308))/2,IF(L308="Si",(I308-(E308+F308)),0)))</f>
        <v>0</v>
      </c>
      <c r="H308" s="2" t="n">
        <f aca="false">IF(M308="No",0,IF(AND(L308="Si",M308="Si"),(I308-(E308+F308))/2,IF(M308="Si",(I308-(E308+F308)),0)))</f>
        <v>0</v>
      </c>
      <c r="M308" s="77" t="s">
        <v>74</v>
      </c>
      <c r="P308" s="1" t="n">
        <f aca="false">DAY(A308)</f>
        <v>30</v>
      </c>
    </row>
    <row r="309" customFormat="false" ht="15" hidden="false" customHeight="true" outlineLevel="0" collapsed="false">
      <c r="A309" s="83"/>
      <c r="G309" s="2" t="n">
        <f aca="false">IF(L309="No",0,IF(AND(L309="Si",M309="Si"),(I309-(E309+F309))/2,IF(L309="Si",(I309-(E309+F309)),0)))</f>
        <v>0</v>
      </c>
      <c r="H309" s="2" t="n">
        <f aca="false">IF(M309="No",0,IF(AND(L309="Si",M309="Si"),(I309-(E309+F309))/2,IF(M309="Si",(I309-(E309+F309)),0)))</f>
        <v>0</v>
      </c>
      <c r="M309" s="77" t="s">
        <v>74</v>
      </c>
      <c r="P309" s="1" t="n">
        <f aca="false">DAY(A309)</f>
        <v>30</v>
      </c>
    </row>
    <row r="310" customFormat="false" ht="15" hidden="false" customHeight="true" outlineLevel="0" collapsed="false">
      <c r="A310" s="83"/>
      <c r="G310" s="2" t="n">
        <f aca="false">IF(L310="No",0,IF(AND(L310="Si",M310="Si"),(I310-(E310+F310))/2,IF(L310="Si",(I310-(E310+F310)),0)))</f>
        <v>0</v>
      </c>
      <c r="H310" s="2" t="n">
        <f aca="false">IF(M310="No",0,IF(AND(L310="Si",M310="Si"),(I310-(E310+F310))/2,IF(M310="Si",(I310-(E310+F310)),0)))</f>
        <v>0</v>
      </c>
      <c r="M310" s="77" t="s">
        <v>74</v>
      </c>
      <c r="P310" s="1" t="n">
        <f aca="false">DAY(A310)</f>
        <v>30</v>
      </c>
    </row>
    <row r="311" customFormat="false" ht="15" hidden="false" customHeight="true" outlineLevel="0" collapsed="false">
      <c r="A311" s="83"/>
      <c r="G311" s="2" t="n">
        <f aca="false">IF(L311="No",0,IF(AND(L311="Si",M311="Si"),(I311-(E311+F311))/2,IF(L311="Si",(I311-(E311+F311)),0)))</f>
        <v>0</v>
      </c>
      <c r="H311" s="2" t="n">
        <f aca="false">IF(M311="No",0,IF(AND(L311="Si",M311="Si"),(I311-(E311+F311))/2,IF(M311="Si",(I311-(E311+F311)),0)))</f>
        <v>0</v>
      </c>
      <c r="M311" s="77" t="s">
        <v>74</v>
      </c>
      <c r="P311" s="1" t="n">
        <f aca="false">DAY(A311)</f>
        <v>30</v>
      </c>
    </row>
    <row r="312" customFormat="false" ht="15" hidden="false" customHeight="true" outlineLevel="0" collapsed="false">
      <c r="A312" s="83"/>
      <c r="G312" s="2" t="n">
        <f aca="false">IF(L312="No",0,IF(AND(L312="Si",M312="Si"),(I312-(E312+F312))/2,IF(L312="Si",(I312-(E312+F312)),0)))</f>
        <v>0</v>
      </c>
      <c r="H312" s="2" t="n">
        <f aca="false">IF(M312="No",0,IF(AND(L312="Si",M312="Si"),(I312-(E312+F312))/2,IF(M312="Si",(I312-(E312+F312)),0)))</f>
        <v>0</v>
      </c>
      <c r="M312" s="77" t="s">
        <v>74</v>
      </c>
      <c r="P312" s="1" t="n">
        <f aca="false">DAY(A312)</f>
        <v>30</v>
      </c>
    </row>
    <row r="313" customFormat="false" ht="15" hidden="false" customHeight="true" outlineLevel="0" collapsed="false">
      <c r="A313" s="83"/>
      <c r="G313" s="2" t="n">
        <f aca="false">IF(L313="No",0,IF(AND(L313="Si",M313="Si"),(I313-(E313+F313))/2,IF(L313="Si",(I313-(E313+F313)),0)))</f>
        <v>0</v>
      </c>
      <c r="H313" s="2" t="n">
        <f aca="false">IF(M313="No",0,IF(AND(L313="Si",M313="Si"),(I313-(E313+F313))/2,IF(M313="Si",(I313-(E313+F313)),0)))</f>
        <v>0</v>
      </c>
      <c r="M313" s="77" t="s">
        <v>74</v>
      </c>
      <c r="P313" s="1" t="n">
        <f aca="false">DAY(A313)</f>
        <v>30</v>
      </c>
    </row>
    <row r="314" customFormat="false" ht="15" hidden="false" customHeight="true" outlineLevel="0" collapsed="false">
      <c r="A314" s="83"/>
      <c r="G314" s="2" t="n">
        <f aca="false">IF(L314="No",0,IF(AND(L314="Si",M314="Si"),(I314-(E314+F314))/2,IF(L314="Si",(I314-(E314+F314)),0)))</f>
        <v>0</v>
      </c>
      <c r="H314" s="2" t="n">
        <f aca="false">IF(M314="No",0,IF(AND(L314="Si",M314="Si"),(I314-(E314+F314))/2,IF(M314="Si",(I314-(E314+F314)),0)))</f>
        <v>0</v>
      </c>
      <c r="M314" s="77" t="s">
        <v>74</v>
      </c>
      <c r="P314" s="1" t="n">
        <f aca="false">DAY(A314)</f>
        <v>30</v>
      </c>
    </row>
    <row r="315" customFormat="false" ht="15" hidden="false" customHeight="true" outlineLevel="0" collapsed="false">
      <c r="A315" s="83"/>
      <c r="G315" s="2" t="n">
        <f aca="false">IF(L315="No",0,IF(AND(L315="Si",M315="Si"),(I315-(E315+F315))/2,IF(L315="Si",(I315-(E315+F315)),0)))</f>
        <v>0</v>
      </c>
      <c r="H315" s="2" t="n">
        <f aca="false">IF(M315="No",0,IF(AND(L315="Si",M315="Si"),(I315-(E315+F315))/2,IF(M315="Si",(I315-(E315+F315)),0)))</f>
        <v>0</v>
      </c>
      <c r="M315" s="77" t="s">
        <v>74</v>
      </c>
      <c r="P315" s="1" t="n">
        <f aca="false">DAY(A315)</f>
        <v>30</v>
      </c>
    </row>
    <row r="316" customFormat="false" ht="15" hidden="false" customHeight="true" outlineLevel="0" collapsed="false">
      <c r="A316" s="83"/>
      <c r="G316" s="2" t="n">
        <f aca="false">IF(L316="No",0,IF(AND(L316="Si",M316="Si"),(I316-(E316+F316))/2,IF(L316="Si",(I316-(E316+F316)),0)))</f>
        <v>0</v>
      </c>
      <c r="H316" s="2" t="n">
        <f aca="false">IF(M316="No",0,IF(AND(L316="Si",M316="Si"),(I316-(E316+F316))/2,IF(M316="Si",(I316-(E316+F316)),0)))</f>
        <v>0</v>
      </c>
      <c r="M316" s="77" t="s">
        <v>74</v>
      </c>
      <c r="P316" s="1" t="n">
        <f aca="false">DAY(A316)</f>
        <v>30</v>
      </c>
    </row>
    <row r="317" customFormat="false" ht="15" hidden="false" customHeight="true" outlineLevel="0" collapsed="false">
      <c r="A317" s="83"/>
      <c r="G317" s="2" t="n">
        <f aca="false">IF(L317="No",0,IF(AND(L317="Si",M317="Si"),(I317-(E317+F317))/2,IF(L317="Si",(I317-(E317+F317)),0)))</f>
        <v>0</v>
      </c>
      <c r="H317" s="2" t="n">
        <f aca="false">IF(M317="No",0,IF(AND(L317="Si",M317="Si"),(I317-(E317+F317))/2,IF(M317="Si",(I317-(E317+F317)),0)))</f>
        <v>0</v>
      </c>
      <c r="M317" s="77" t="s">
        <v>74</v>
      </c>
      <c r="P317" s="1" t="n">
        <f aca="false">DAY(A317)</f>
        <v>30</v>
      </c>
    </row>
    <row r="318" customFormat="false" ht="15" hidden="false" customHeight="true" outlineLevel="0" collapsed="false">
      <c r="A318" s="83"/>
      <c r="G318" s="2" t="n">
        <f aca="false">IF(L318="No",0,IF(AND(L318="Si",M318="Si"),(I318-(E318+F318))/2,IF(L318="Si",(I318-(E318+F318)),0)))</f>
        <v>0</v>
      </c>
      <c r="H318" s="2" t="n">
        <f aca="false">IF(M318="No",0,IF(AND(L318="Si",M318="Si"),(I318-(E318+F318))/2,IF(M318="Si",(I318-(E318+F318)),0)))</f>
        <v>0</v>
      </c>
      <c r="M318" s="77" t="s">
        <v>74</v>
      </c>
      <c r="P318" s="1" t="n">
        <f aca="false">DAY(A318)</f>
        <v>30</v>
      </c>
    </row>
    <row r="319" customFormat="false" ht="15" hidden="false" customHeight="true" outlineLevel="0" collapsed="false">
      <c r="A319" s="83"/>
      <c r="G319" s="2" t="n">
        <f aca="false">IF(L319="No",0,IF(AND(L319="Si",M319="Si"),(I319-(E319+F319))/2,IF(L319="Si",(I319-(E319+F319)),0)))</f>
        <v>0</v>
      </c>
      <c r="H319" s="2" t="n">
        <f aca="false">IF(M319="No",0,IF(AND(L319="Si",M319="Si"),(I319-(E319+F319))/2,IF(M319="Si",(I319-(E319+F319)),0)))</f>
        <v>0</v>
      </c>
      <c r="M319" s="77" t="s">
        <v>74</v>
      </c>
      <c r="P319" s="1" t="n">
        <f aca="false">DAY(A319)</f>
        <v>30</v>
      </c>
    </row>
    <row r="320" customFormat="false" ht="15" hidden="false" customHeight="true" outlineLevel="0" collapsed="false">
      <c r="A320" s="83"/>
      <c r="G320" s="2" t="n">
        <f aca="false">IF(L320="No",0,IF(AND(L320="Si",M320="Si"),(I320-(E320+F320))/2,IF(L320="Si",(I320-(E320+F320)),0)))</f>
        <v>0</v>
      </c>
      <c r="H320" s="2" t="n">
        <f aca="false">IF(M320="No",0,IF(AND(L320="Si",M320="Si"),(I320-(E320+F320))/2,IF(M320="Si",(I320-(E320+F320)),0)))</f>
        <v>0</v>
      </c>
      <c r="M320" s="77" t="s">
        <v>74</v>
      </c>
      <c r="P320" s="1" t="n">
        <f aca="false">DAY(A320)</f>
        <v>30</v>
      </c>
    </row>
    <row r="321" customFormat="false" ht="15" hidden="false" customHeight="true" outlineLevel="0" collapsed="false">
      <c r="A321" s="83"/>
      <c r="G321" s="2" t="n">
        <f aca="false">IF(L321="No",0,IF(AND(L321="Si",M321="Si"),(I321-(E321+F321))/2,IF(L321="Si",(I321-(E321+F321)),0)))</f>
        <v>0</v>
      </c>
      <c r="H321" s="2" t="n">
        <f aca="false">IF(M321="No",0,IF(AND(L321="Si",M321="Si"),(I321-(E321+F321))/2,IF(M321="Si",(I321-(E321+F321)),0)))</f>
        <v>0</v>
      </c>
      <c r="M321" s="77" t="s">
        <v>74</v>
      </c>
      <c r="P321" s="1" t="n">
        <f aca="false">DAY(A321)</f>
        <v>30</v>
      </c>
    </row>
    <row r="322" customFormat="false" ht="15" hidden="false" customHeight="true" outlineLevel="0" collapsed="false">
      <c r="A322" s="83"/>
      <c r="G322" s="2" t="n">
        <f aca="false">IF(L322="No",0,IF(AND(L322="Si",M322="Si"),(I322-(E322+F322))/2,IF(L322="Si",(I322-(E322+F322)),0)))</f>
        <v>0</v>
      </c>
      <c r="H322" s="2" t="n">
        <f aca="false">IF(M322="No",0,IF(AND(L322="Si",M322="Si"),(I322-(E322+F322))/2,IF(M322="Si",(I322-(E322+F322)),0)))</f>
        <v>0</v>
      </c>
      <c r="M322" s="77" t="s">
        <v>74</v>
      </c>
      <c r="P322" s="1" t="n">
        <f aca="false">DAY(A322)</f>
        <v>30</v>
      </c>
    </row>
    <row r="323" customFormat="false" ht="15" hidden="false" customHeight="true" outlineLevel="0" collapsed="false">
      <c r="A323" s="83"/>
      <c r="G323" s="2" t="n">
        <f aca="false">IF(L323="No",0,IF(AND(L323="Si",M323="Si"),(I323-(E323+F323))/2,IF(L323="Si",(I323-(E323+F323)),0)))</f>
        <v>0</v>
      </c>
      <c r="H323" s="2" t="n">
        <f aca="false">IF(M323="No",0,IF(AND(L323="Si",M323="Si"),(I323-(E323+F323))/2,IF(M323="Si",(I323-(E323+F323)),0)))</f>
        <v>0</v>
      </c>
      <c r="M323" s="77" t="s">
        <v>74</v>
      </c>
      <c r="P323" s="1" t="n">
        <f aca="false">DAY(A323)</f>
        <v>30</v>
      </c>
    </row>
    <row r="324" customFormat="false" ht="15" hidden="false" customHeight="true" outlineLevel="0" collapsed="false">
      <c r="A324" s="83"/>
      <c r="G324" s="2" t="n">
        <f aca="false">IF(L324="No",0,IF(AND(L324="Si",M324="Si"),(I324-(E324+F324))/2,IF(L324="Si",(I324-(E324+F324)),0)))</f>
        <v>0</v>
      </c>
      <c r="H324" s="2" t="n">
        <f aca="false">IF(M324="No",0,IF(AND(L324="Si",M324="Si"),(I324-(E324+F324))/2,IF(M324="Si",(I324-(E324+F324)),0)))</f>
        <v>0</v>
      </c>
      <c r="M324" s="77" t="s">
        <v>74</v>
      </c>
      <c r="P324" s="1" t="n">
        <f aca="false">DAY(A324)</f>
        <v>30</v>
      </c>
    </row>
    <row r="325" customFormat="false" ht="15" hidden="false" customHeight="true" outlineLevel="0" collapsed="false">
      <c r="A325" s="83"/>
      <c r="G325" s="2" t="n">
        <f aca="false">IF(L325="No",0,IF(AND(L325="Si",M325="Si"),(I325-(E325+F325))/2,IF(L325="Si",(I325-(E325+F325)),0)))</f>
        <v>0</v>
      </c>
      <c r="H325" s="2" t="n">
        <f aca="false">IF(M325="No",0,IF(AND(L325="Si",M325="Si"),(I325-(E325+F325))/2,IF(M325="Si",(I325-(E325+F325)),0)))</f>
        <v>0</v>
      </c>
      <c r="M325" s="77" t="s">
        <v>74</v>
      </c>
      <c r="P325" s="1" t="n">
        <f aca="false">DAY(A325)</f>
        <v>30</v>
      </c>
    </row>
    <row r="326" customFormat="false" ht="15" hidden="false" customHeight="true" outlineLevel="0" collapsed="false">
      <c r="A326" s="83"/>
      <c r="G326" s="2" t="n">
        <f aca="false">IF(L326="No",0,IF(AND(L326="Si",M326="Si"),(I326-(E326+F326))/2,IF(L326="Si",(I326-(E326+F326)),0)))</f>
        <v>0</v>
      </c>
      <c r="H326" s="2" t="n">
        <f aca="false">IF(M326="No",0,IF(AND(L326="Si",M326="Si"),(I326-(E326+F326))/2,IF(M326="Si",(I326-(E326+F326)),0)))</f>
        <v>0</v>
      </c>
      <c r="M326" s="77" t="s">
        <v>74</v>
      </c>
      <c r="P326" s="1" t="n">
        <f aca="false">DAY(A326)</f>
        <v>30</v>
      </c>
    </row>
    <row r="327" customFormat="false" ht="15" hidden="false" customHeight="true" outlineLevel="0" collapsed="false">
      <c r="A327" s="83"/>
      <c r="G327" s="2" t="n">
        <f aca="false">IF(L327="No",0,IF(AND(L327="Si",M327="Si"),(I327-(E327+F327))/2,IF(L327="Si",(I327-(E327+F327)),0)))</f>
        <v>0</v>
      </c>
      <c r="H327" s="2" t="n">
        <f aca="false">IF(M327="No",0,IF(AND(L327="Si",M327="Si"),(I327-(E327+F327))/2,IF(M327="Si",(I327-(E327+F327)),0)))</f>
        <v>0</v>
      </c>
      <c r="M327" s="77" t="s">
        <v>74</v>
      </c>
      <c r="P327" s="1" t="n">
        <f aca="false">DAY(A327)</f>
        <v>30</v>
      </c>
    </row>
    <row r="328" customFormat="false" ht="15" hidden="false" customHeight="true" outlineLevel="0" collapsed="false">
      <c r="A328" s="83"/>
      <c r="G328" s="2" t="n">
        <f aca="false">IF(L328="No",0,IF(AND(L328="Si",M328="Si"),(I328-(E328+F328))/2,IF(L328="Si",(I328-(E328+F328)),0)))</f>
        <v>0</v>
      </c>
      <c r="H328" s="2" t="n">
        <f aca="false">IF(M328="No",0,IF(AND(L328="Si",M328="Si"),(I328-(E328+F328))/2,IF(M328="Si",(I328-(E328+F328)),0)))</f>
        <v>0</v>
      </c>
      <c r="M328" s="77" t="s">
        <v>74</v>
      </c>
      <c r="P328" s="1" t="n">
        <f aca="false">DAY(A328)</f>
        <v>30</v>
      </c>
    </row>
    <row r="329" customFormat="false" ht="15" hidden="false" customHeight="true" outlineLevel="0" collapsed="false">
      <c r="A329" s="83"/>
      <c r="G329" s="2" t="n">
        <f aca="false">IF(L329="No",0,IF(AND(L329="Si",M329="Si"),(I329-(E329+F329))/2,IF(L329="Si",(I329-(E329+F329)),0)))</f>
        <v>0</v>
      </c>
      <c r="H329" s="2" t="n">
        <f aca="false">IF(M329="No",0,IF(AND(L329="Si",M329="Si"),(I329-(E329+F329))/2,IF(M329="Si",(I329-(E329+F329)),0)))</f>
        <v>0</v>
      </c>
      <c r="M329" s="77" t="s">
        <v>74</v>
      </c>
      <c r="P329" s="1" t="n">
        <f aca="false">DAY(A329)</f>
        <v>30</v>
      </c>
    </row>
    <row r="330" customFormat="false" ht="15" hidden="false" customHeight="true" outlineLevel="0" collapsed="false">
      <c r="A330" s="83"/>
      <c r="G330" s="2" t="n">
        <f aca="false">IF(L330="No",0,IF(AND(L330="Si",M330="Si"),(I330-(E330+F330))/2,IF(L330="Si",(I330-(E330+F330)),0)))</f>
        <v>0</v>
      </c>
      <c r="H330" s="2" t="n">
        <f aca="false">IF(M330="No",0,IF(AND(L330="Si",M330="Si"),(I330-(E330+F330))/2,IF(M330="Si",(I330-(E330+F330)),0)))</f>
        <v>0</v>
      </c>
      <c r="M330" s="77" t="s">
        <v>74</v>
      </c>
      <c r="P330" s="1" t="n">
        <f aca="false">DAY(A330)</f>
        <v>30</v>
      </c>
    </row>
    <row r="331" customFormat="false" ht="15" hidden="false" customHeight="true" outlineLevel="0" collapsed="false">
      <c r="A331" s="83"/>
      <c r="G331" s="2" t="n">
        <f aca="false">IF(L331="No",0,IF(AND(L331="Si",M331="Si"),(I331-(E331+F331))/2,IF(L331="Si",(I331-(E331+F331)),0)))</f>
        <v>0</v>
      </c>
      <c r="H331" s="2" t="n">
        <f aca="false">IF(M331="No",0,IF(AND(L331="Si",M331="Si"),(I331-(E331+F331))/2,IF(M331="Si",(I331-(E331+F331)),0)))</f>
        <v>0</v>
      </c>
      <c r="M331" s="77" t="s">
        <v>74</v>
      </c>
      <c r="P331" s="1" t="n">
        <f aca="false">DAY(A331)</f>
        <v>30</v>
      </c>
    </row>
    <row r="332" customFormat="false" ht="15" hidden="false" customHeight="true" outlineLevel="0" collapsed="false">
      <c r="A332" s="83"/>
      <c r="G332" s="2" t="n">
        <f aca="false">IF(L332="No",0,IF(AND(L332="Si",M332="Si"),(I332-(E332+F332))/2,IF(L332="Si",(I332-(E332+F332)),0)))</f>
        <v>0</v>
      </c>
      <c r="H332" s="2" t="n">
        <f aca="false">IF(M332="No",0,IF(AND(L332="Si",M332="Si"),(I332-(E332+F332))/2,IF(M332="Si",(I332-(E332+F332)),0)))</f>
        <v>0</v>
      </c>
      <c r="M332" s="77" t="s">
        <v>74</v>
      </c>
      <c r="P332" s="1" t="n">
        <f aca="false">DAY(A332)</f>
        <v>30</v>
      </c>
    </row>
    <row r="333" customFormat="false" ht="15" hidden="false" customHeight="true" outlineLevel="0" collapsed="false">
      <c r="A333" s="83"/>
      <c r="G333" s="2" t="n">
        <f aca="false">IF(L333="No",0,IF(AND(L333="Si",M333="Si"),(I333-(E333+F333))/2,IF(L333="Si",(I333-(E333+F333)),0)))</f>
        <v>0</v>
      </c>
      <c r="H333" s="2" t="n">
        <f aca="false">IF(M333="No",0,IF(AND(L333="Si",M333="Si"),(I333-(E333+F333))/2,IF(M333="Si",(I333-(E333+F333)),0)))</f>
        <v>0</v>
      </c>
      <c r="M333" s="77" t="s">
        <v>74</v>
      </c>
      <c r="P333" s="1" t="n">
        <f aca="false">DAY(A333)</f>
        <v>30</v>
      </c>
    </row>
    <row r="334" customFormat="false" ht="15" hidden="false" customHeight="true" outlineLevel="0" collapsed="false">
      <c r="A334" s="83"/>
      <c r="G334" s="2" t="n">
        <f aca="false">IF(L334="No",0,IF(AND(L334="Si",M334="Si"),(I334-(E334+F334))/2,IF(L334="Si",(I334-(E334+F334)),0)))</f>
        <v>0</v>
      </c>
      <c r="H334" s="2" t="n">
        <f aca="false">IF(M334="No",0,IF(AND(L334="Si",M334="Si"),(I334-(E334+F334))/2,IF(M334="Si",(I334-(E334+F334)),0)))</f>
        <v>0</v>
      </c>
      <c r="M334" s="77" t="s">
        <v>74</v>
      </c>
      <c r="P334" s="1" t="n">
        <f aca="false">DAY(A334)</f>
        <v>30</v>
      </c>
    </row>
    <row r="335" customFormat="false" ht="15" hidden="false" customHeight="true" outlineLevel="0" collapsed="false">
      <c r="A335" s="83"/>
      <c r="G335" s="2" t="n">
        <f aca="false">IF(L335="No",0,IF(AND(L335="Si",M335="Si"),(I335-(E335+F335))/2,IF(L335="Si",(I335-(E335+F335)),0)))</f>
        <v>0</v>
      </c>
      <c r="H335" s="2" t="n">
        <f aca="false">IF(M335="No",0,IF(AND(L335="Si",M335="Si"),(I335-(E335+F335))/2,IF(M335="Si",(I335-(E335+F335)),0)))</f>
        <v>0</v>
      </c>
      <c r="M335" s="77" t="s">
        <v>74</v>
      </c>
      <c r="P335" s="1" t="n">
        <f aca="false">DAY(A335)</f>
        <v>30</v>
      </c>
    </row>
    <row r="336" customFormat="false" ht="15" hidden="false" customHeight="true" outlineLevel="0" collapsed="false">
      <c r="A336" s="83"/>
      <c r="G336" s="2" t="n">
        <f aca="false">IF(L336="No",0,IF(AND(L336="Si",M336="Si"),(I336-(E336+F336))/2,IF(L336="Si",(I336-(E336+F336)),0)))</f>
        <v>0</v>
      </c>
      <c r="H336" s="2" t="n">
        <f aca="false">IF(M336="No",0,IF(AND(L336="Si",M336="Si"),(I336-(E336+F336))/2,IF(M336="Si",(I336-(E336+F336)),0)))</f>
        <v>0</v>
      </c>
      <c r="M336" s="77" t="s">
        <v>74</v>
      </c>
      <c r="P336" s="1" t="n">
        <f aca="false">DAY(A336)</f>
        <v>30</v>
      </c>
    </row>
    <row r="337" customFormat="false" ht="15" hidden="false" customHeight="true" outlineLevel="0" collapsed="false">
      <c r="A337" s="83"/>
      <c r="G337" s="2" t="n">
        <f aca="false">IF(L337="No",0,IF(AND(L337="Si",M337="Si"),(I337-(E337+F337))/2,IF(L337="Si",(I337-(E337+F337)),0)))</f>
        <v>0</v>
      </c>
      <c r="H337" s="2" t="n">
        <f aca="false">IF(M337="No",0,IF(AND(L337="Si",M337="Si"),(I337-(E337+F337))/2,IF(M337="Si",(I337-(E337+F337)),0)))</f>
        <v>0</v>
      </c>
      <c r="M337" s="77" t="s">
        <v>74</v>
      </c>
      <c r="P337" s="1" t="n">
        <f aca="false">DAY(A337)</f>
        <v>30</v>
      </c>
    </row>
    <row r="338" customFormat="false" ht="15" hidden="false" customHeight="true" outlineLevel="0" collapsed="false">
      <c r="A338" s="83"/>
      <c r="G338" s="2" t="n">
        <f aca="false">IF(L338="No",0,IF(AND(L338="Si",M338="Si"),(I338-(E338+F338))/2,IF(L338="Si",(I338-(E338+F338)),0)))</f>
        <v>0</v>
      </c>
      <c r="H338" s="2" t="n">
        <f aca="false">IF(M338="No",0,IF(AND(L338="Si",M338="Si"),(I338-(E338+F338))/2,IF(M338="Si",(I338-(E338+F338)),0)))</f>
        <v>0</v>
      </c>
      <c r="M338" s="77" t="s">
        <v>74</v>
      </c>
      <c r="P338" s="1" t="n">
        <f aca="false">DAY(A338)</f>
        <v>30</v>
      </c>
    </row>
    <row r="339" customFormat="false" ht="15" hidden="false" customHeight="true" outlineLevel="0" collapsed="false">
      <c r="A339" s="83"/>
      <c r="G339" s="2" t="n">
        <f aca="false">IF(L339="No",0,IF(AND(L339="Si",M339="Si"),(I339-(E339+F339))/2,IF(L339="Si",(I339-(E339+F339)),0)))</f>
        <v>0</v>
      </c>
      <c r="H339" s="2" t="n">
        <f aca="false">IF(M339="No",0,IF(AND(L339="Si",M339="Si"),(I339-(E339+F339))/2,IF(M339="Si",(I339-(E339+F339)),0)))</f>
        <v>0</v>
      </c>
      <c r="M339" s="77" t="s">
        <v>74</v>
      </c>
      <c r="P339" s="1" t="n">
        <f aca="false">DAY(A339)</f>
        <v>30</v>
      </c>
    </row>
    <row r="340" customFormat="false" ht="15" hidden="false" customHeight="true" outlineLevel="0" collapsed="false">
      <c r="A340" s="83"/>
      <c r="G340" s="2" t="n">
        <f aca="false">IF(L340="No",0,IF(AND(L340="Si",M340="Si"),(I340-(E340+F340))/2,IF(L340="Si",(I340-(E340+F340)),0)))</f>
        <v>0</v>
      </c>
      <c r="H340" s="2" t="n">
        <f aca="false">IF(M340="No",0,IF(AND(L340="Si",M340="Si"),(I340-(E340+F340))/2,IF(M340="Si",(I340-(E340+F340)),0)))</f>
        <v>0</v>
      </c>
      <c r="M340" s="77" t="s">
        <v>74</v>
      </c>
      <c r="P340" s="1" t="n">
        <f aca="false">DAY(A340)</f>
        <v>30</v>
      </c>
    </row>
    <row r="341" customFormat="false" ht="15" hidden="false" customHeight="true" outlineLevel="0" collapsed="false">
      <c r="A341" s="83"/>
      <c r="G341" s="2" t="n">
        <f aca="false">IF(L341="No",0,IF(AND(L341="Si",M341="Si"),(I341-(E341+F341))/2,IF(L341="Si",(I341-(E341+F341)),0)))</f>
        <v>0</v>
      </c>
      <c r="H341" s="2" t="n">
        <f aca="false">IF(M341="No",0,IF(AND(L341="Si",M341="Si"),(I341-(E341+F341))/2,IF(M341="Si",(I341-(E341+F341)),0)))</f>
        <v>0</v>
      </c>
      <c r="M341" s="77" t="s">
        <v>74</v>
      </c>
      <c r="P341" s="1" t="n">
        <f aca="false">DAY(A341)</f>
        <v>30</v>
      </c>
    </row>
    <row r="342" customFormat="false" ht="15" hidden="false" customHeight="true" outlineLevel="0" collapsed="false">
      <c r="A342" s="83"/>
      <c r="G342" s="2" t="n">
        <f aca="false">IF(L342="No",0,IF(AND(L342="Si",M342="Si"),(I342-(E342+F342))/2,IF(L342="Si",(I342-(E342+F342)),0)))</f>
        <v>0</v>
      </c>
      <c r="H342" s="2" t="n">
        <f aca="false">IF(M342="No",0,IF(AND(L342="Si",M342="Si"),(I342-(E342+F342))/2,IF(M342="Si",(I342-(E342+F342)),0)))</f>
        <v>0</v>
      </c>
      <c r="M342" s="77" t="s">
        <v>74</v>
      </c>
      <c r="P342" s="1" t="n">
        <f aca="false">DAY(A342)</f>
        <v>30</v>
      </c>
    </row>
    <row r="343" customFormat="false" ht="15" hidden="false" customHeight="true" outlineLevel="0" collapsed="false">
      <c r="A343" s="83"/>
      <c r="G343" s="2" t="n">
        <f aca="false">IF(L343="No",0,IF(AND(L343="Si",M343="Si"),(I343-(E343+F343))/2,IF(L343="Si",(I343-(E343+F343)),0)))</f>
        <v>0</v>
      </c>
      <c r="H343" s="2" t="n">
        <f aca="false">IF(M343="No",0,IF(AND(L343="Si",M343="Si"),(I343-(E343+F343))/2,IF(M343="Si",(I343-(E343+F343)),0)))</f>
        <v>0</v>
      </c>
      <c r="M343" s="77" t="s">
        <v>74</v>
      </c>
      <c r="P343" s="1" t="n">
        <f aca="false">DAY(A343)</f>
        <v>30</v>
      </c>
    </row>
    <row r="344" customFormat="false" ht="15" hidden="false" customHeight="true" outlineLevel="0" collapsed="false">
      <c r="A344" s="83"/>
      <c r="G344" s="2" t="n">
        <f aca="false">IF(L344="No",0,IF(AND(L344="Si",M344="Si"),(I344-(E344+F344))/2,IF(L344="Si",(I344-(E344+F344)),0)))</f>
        <v>0</v>
      </c>
      <c r="H344" s="2" t="n">
        <f aca="false">IF(M344="No",0,IF(AND(L344="Si",M344="Si"),(I344-(E344+F344))/2,IF(M344="Si",(I344-(E344+F344)),0)))</f>
        <v>0</v>
      </c>
      <c r="M344" s="77" t="s">
        <v>74</v>
      </c>
      <c r="P344" s="1" t="n">
        <f aca="false">DAY(A344)</f>
        <v>30</v>
      </c>
    </row>
    <row r="345" customFormat="false" ht="15" hidden="false" customHeight="true" outlineLevel="0" collapsed="false">
      <c r="A345" s="83"/>
      <c r="G345" s="2" t="n">
        <f aca="false">IF(L345="No",0,IF(AND(L345="Si",M345="Si"),(I345-(E345+F345))/2,IF(L345="Si",(I345-(E345+F345)),0)))</f>
        <v>0</v>
      </c>
      <c r="H345" s="2" t="n">
        <f aca="false">IF(M345="No",0,IF(AND(L345="Si",M345="Si"),(I345-(E345+F345))/2,IF(M345="Si",(I345-(E345+F345)),0)))</f>
        <v>0</v>
      </c>
      <c r="M345" s="77" t="s">
        <v>74</v>
      </c>
      <c r="P345" s="1" t="n">
        <f aca="false">DAY(A345)</f>
        <v>30</v>
      </c>
    </row>
    <row r="346" customFormat="false" ht="15" hidden="false" customHeight="true" outlineLevel="0" collapsed="false">
      <c r="A346" s="83"/>
      <c r="G346" s="2" t="n">
        <f aca="false">IF(L346="No",0,IF(AND(L346="Si",M346="Si"),(I346-(E346+F346))/2,IF(L346="Si",(I346-(E346+F346)),0)))</f>
        <v>0</v>
      </c>
      <c r="H346" s="2" t="n">
        <f aca="false">IF(M346="No",0,IF(AND(L346="Si",M346="Si"),(I346-(E346+F346))/2,IF(M346="Si",(I346-(E346+F346)),0)))</f>
        <v>0</v>
      </c>
      <c r="M346" s="77" t="s">
        <v>74</v>
      </c>
      <c r="P346" s="1" t="n">
        <f aca="false">DAY(A346)</f>
        <v>30</v>
      </c>
    </row>
    <row r="347" customFormat="false" ht="15" hidden="false" customHeight="true" outlineLevel="0" collapsed="false">
      <c r="A347" s="83"/>
      <c r="G347" s="2" t="n">
        <f aca="false">IF(L347="No",0,IF(AND(L347="Si",M347="Si"),(I347-(E347+F347))/2,IF(L347="Si",(I347-(E347+F347)),0)))</f>
        <v>0</v>
      </c>
      <c r="H347" s="2" t="n">
        <f aca="false">IF(M347="No",0,IF(AND(L347="Si",M347="Si"),(I347-(E347+F347))/2,IF(M347="Si",(I347-(E347+F347)),0)))</f>
        <v>0</v>
      </c>
      <c r="M347" s="77" t="s">
        <v>74</v>
      </c>
      <c r="P347" s="1" t="n">
        <f aca="false">DAY(A347)</f>
        <v>30</v>
      </c>
    </row>
    <row r="348" customFormat="false" ht="15" hidden="false" customHeight="true" outlineLevel="0" collapsed="false">
      <c r="A348" s="83"/>
      <c r="G348" s="2" t="n">
        <f aca="false">IF(L348="No",0,IF(AND(L348="Si",M348="Si"),(I348-(E348+F348))/2,IF(L348="Si",(I348-(E348+F348)),0)))</f>
        <v>0</v>
      </c>
      <c r="H348" s="2" t="n">
        <f aca="false">IF(M348="No",0,IF(AND(L348="Si",M348="Si"),(I348-(E348+F348))/2,IF(M348="Si",(I348-(E348+F348)),0)))</f>
        <v>0</v>
      </c>
      <c r="M348" s="77" t="s">
        <v>74</v>
      </c>
      <c r="P348" s="1" t="n">
        <f aca="false">DAY(A348)</f>
        <v>30</v>
      </c>
    </row>
    <row r="349" customFormat="false" ht="15" hidden="false" customHeight="true" outlineLevel="0" collapsed="false">
      <c r="A349" s="83"/>
      <c r="G349" s="2" t="n">
        <f aca="false">IF(L349="No",0,IF(AND(L349="Si",M349="Si"),(I349-(E349+F349))/2,IF(L349="Si",(I349-(E349+F349)),0)))</f>
        <v>0</v>
      </c>
      <c r="H349" s="2" t="n">
        <f aca="false">IF(M349="No",0,IF(AND(L349="Si",M349="Si"),(I349-(E349+F349))/2,IF(M349="Si",(I349-(E349+F349)),0)))</f>
        <v>0</v>
      </c>
      <c r="M349" s="77" t="s">
        <v>74</v>
      </c>
      <c r="P349" s="1" t="n">
        <f aca="false">DAY(A349)</f>
        <v>30</v>
      </c>
    </row>
    <row r="350" customFormat="false" ht="15" hidden="false" customHeight="true" outlineLevel="0" collapsed="false">
      <c r="A350" s="83"/>
      <c r="G350" s="2" t="n">
        <f aca="false">IF(L350="No",0,IF(AND(L350="Si",M350="Si"),(I350-(E350+F350))/2,IF(L350="Si",(I350-(E350+F350)),0)))</f>
        <v>0</v>
      </c>
      <c r="H350" s="2" t="n">
        <f aca="false">IF(M350="No",0,IF(AND(L350="Si",M350="Si"),(I350-(E350+F350))/2,IF(M350="Si",(I350-(E350+F350)),0)))</f>
        <v>0</v>
      </c>
      <c r="M350" s="77" t="s">
        <v>74</v>
      </c>
      <c r="P350" s="1" t="n">
        <f aca="false">DAY(A350)</f>
        <v>30</v>
      </c>
    </row>
    <row r="351" customFormat="false" ht="15" hidden="false" customHeight="true" outlineLevel="0" collapsed="false">
      <c r="A351" s="83"/>
      <c r="G351" s="2" t="n">
        <f aca="false">IF(L351="No",0,IF(AND(L351="Si",M351="Si"),(I351-(E351+F351))/2,IF(L351="Si",(I351-(E351+F351)),0)))</f>
        <v>0</v>
      </c>
      <c r="H351" s="2" t="n">
        <f aca="false">IF(M351="No",0,IF(AND(L351="Si",M351="Si"),(I351-(E351+F351))/2,IF(M351="Si",(I351-(E351+F351)),0)))</f>
        <v>0</v>
      </c>
      <c r="M351" s="77" t="s">
        <v>74</v>
      </c>
      <c r="P351" s="1" t="n">
        <f aca="false">DAY(A351)</f>
        <v>30</v>
      </c>
    </row>
    <row r="352" customFormat="false" ht="15" hidden="false" customHeight="true" outlineLevel="0" collapsed="false">
      <c r="A352" s="83"/>
      <c r="G352" s="2" t="n">
        <f aca="false">IF(L352="No",0,IF(AND(L352="Si",M352="Si"),(I352-(E352+F352))/2,IF(L352="Si",(I352-(E352+F352)),0)))</f>
        <v>0</v>
      </c>
      <c r="H352" s="2" t="n">
        <f aca="false">IF(M352="No",0,IF(AND(L352="Si",M352="Si"),(I352-(E352+F352))/2,IF(M352="Si",(I352-(E352+F352)),0)))</f>
        <v>0</v>
      </c>
      <c r="M352" s="77" t="s">
        <v>74</v>
      </c>
      <c r="P352" s="1" t="n">
        <f aca="false">DAY(A352)</f>
        <v>30</v>
      </c>
    </row>
    <row r="353" customFormat="false" ht="15" hidden="false" customHeight="true" outlineLevel="0" collapsed="false">
      <c r="A353" s="83"/>
      <c r="G353" s="2" t="n">
        <f aca="false">IF(L353="No",0,IF(AND(L353="Si",M353="Si"),(I353-(E353+F353))/2,IF(L353="Si",(I353-(E353+F353)),0)))</f>
        <v>0</v>
      </c>
      <c r="H353" s="2" t="n">
        <f aca="false">IF(M353="No",0,IF(AND(L353="Si",M353="Si"),(I353-(E353+F353))/2,IF(M353="Si",(I353-(E353+F353)),0)))</f>
        <v>0</v>
      </c>
      <c r="M353" s="77" t="s">
        <v>74</v>
      </c>
      <c r="P353" s="1" t="n">
        <f aca="false">DAY(A353)</f>
        <v>30</v>
      </c>
    </row>
    <row r="354" customFormat="false" ht="15" hidden="false" customHeight="true" outlineLevel="0" collapsed="false">
      <c r="A354" s="83"/>
      <c r="G354" s="2" t="n">
        <f aca="false">IF(L354="No",0,IF(AND(L354="Si",M354="Si"),(I354-(E354+F354))/2,IF(L354="Si",(I354-(E354+F354)),0)))</f>
        <v>0</v>
      </c>
      <c r="H354" s="2" t="n">
        <f aca="false">IF(M354="No",0,IF(AND(L354="Si",M354="Si"),(I354-(E354+F354))/2,IF(M354="Si",(I354-(E354+F354)),0)))</f>
        <v>0</v>
      </c>
      <c r="M354" s="77" t="s">
        <v>74</v>
      </c>
      <c r="P354" s="1" t="n">
        <f aca="false">DAY(A354)</f>
        <v>30</v>
      </c>
    </row>
    <row r="355" customFormat="false" ht="15" hidden="false" customHeight="true" outlineLevel="0" collapsed="false">
      <c r="A355" s="83"/>
      <c r="G355" s="2" t="n">
        <f aca="false">IF(L355="No",0,IF(AND(L355="Si",M355="Si"),(I355-(E355+F355))/2,IF(L355="Si",(I355-(E355+F355)),0)))</f>
        <v>0</v>
      </c>
      <c r="H355" s="2" t="n">
        <f aca="false">IF(M355="No",0,IF(AND(L355="Si",M355="Si"),(I355-(E355+F355))/2,IF(M355="Si",(I355-(E355+F355)),0)))</f>
        <v>0</v>
      </c>
      <c r="M355" s="77" t="s">
        <v>74</v>
      </c>
      <c r="P355" s="1" t="n">
        <f aca="false">DAY(A355)</f>
        <v>30</v>
      </c>
    </row>
    <row r="356" customFormat="false" ht="15" hidden="false" customHeight="true" outlineLevel="0" collapsed="false">
      <c r="A356" s="83"/>
      <c r="G356" s="2" t="n">
        <f aca="false">IF(L356="No",0,IF(AND(L356="Si",M356="Si"),(I356-(E356+F356))/2,IF(L356="Si",(I356-(E356+F356)),0)))</f>
        <v>0</v>
      </c>
      <c r="H356" s="2" t="n">
        <f aca="false">IF(M356="No",0,IF(AND(L356="Si",M356="Si"),(I356-(E356+F356))/2,IF(M356="Si",(I356-(E356+F356)),0)))</f>
        <v>0</v>
      </c>
      <c r="M356" s="77" t="s">
        <v>74</v>
      </c>
      <c r="P356" s="1" t="n">
        <f aca="false">DAY(A356)</f>
        <v>30</v>
      </c>
    </row>
    <row r="357" customFormat="false" ht="15" hidden="false" customHeight="true" outlineLevel="0" collapsed="false">
      <c r="A357" s="83"/>
      <c r="G357" s="2" t="n">
        <f aca="false">IF(L357="No",0,IF(AND(L357="Si",M357="Si"),(I357-(E357+F357))/2,IF(L357="Si",(I357-(E357+F357)),0)))</f>
        <v>0</v>
      </c>
      <c r="H357" s="2" t="n">
        <f aca="false">IF(M357="No",0,IF(AND(L357="Si",M357="Si"),(I357-(E357+F357))/2,IF(M357="Si",(I357-(E357+F357)),0)))</f>
        <v>0</v>
      </c>
      <c r="M357" s="77" t="s">
        <v>74</v>
      </c>
      <c r="P357" s="1" t="n">
        <f aca="false">DAY(A357)</f>
        <v>30</v>
      </c>
    </row>
    <row r="358" customFormat="false" ht="15" hidden="false" customHeight="true" outlineLevel="0" collapsed="false">
      <c r="A358" s="83"/>
      <c r="G358" s="2" t="n">
        <f aca="false">IF(L358="No",0,IF(AND(L358="Si",M358="Si"),(I358-(E358+F358))/2,IF(L358="Si",(I358-(E358+F358)),0)))</f>
        <v>0</v>
      </c>
      <c r="H358" s="2" t="n">
        <f aca="false">IF(M358="No",0,IF(AND(L358="Si",M358="Si"),(I358-(E358+F358))/2,IF(M358="Si",(I358-(E358+F358)),0)))</f>
        <v>0</v>
      </c>
      <c r="M358" s="77" t="s">
        <v>74</v>
      </c>
      <c r="P358" s="1" t="n">
        <f aca="false">DAY(A358)</f>
        <v>30</v>
      </c>
    </row>
    <row r="359" customFormat="false" ht="15" hidden="false" customHeight="true" outlineLevel="0" collapsed="false">
      <c r="A359" s="83"/>
      <c r="G359" s="2" t="n">
        <f aca="false">IF(L359="No",0,IF(AND(L359="Si",M359="Si"),(I359-(E359+F359))/2,IF(L359="Si",(I359-(E359+F359)),0)))</f>
        <v>0</v>
      </c>
      <c r="H359" s="2" t="n">
        <f aca="false">IF(M359="No",0,IF(AND(L359="Si",M359="Si"),(I359-(E359+F359))/2,IF(M359="Si",(I359-(E359+F359)),0)))</f>
        <v>0</v>
      </c>
      <c r="M359" s="77" t="s">
        <v>74</v>
      </c>
      <c r="P359" s="1" t="n">
        <f aca="false">DAY(A359)</f>
        <v>30</v>
      </c>
    </row>
    <row r="360" customFormat="false" ht="15" hidden="false" customHeight="true" outlineLevel="0" collapsed="false">
      <c r="A360" s="83"/>
      <c r="G360" s="2" t="n">
        <f aca="false">IF(L360="No",0,IF(AND(L360="Si",M360="Si"),(I360-(E360+F360))/2,IF(L360="Si",(I360-(E360+F360)),0)))</f>
        <v>0</v>
      </c>
      <c r="H360" s="2" t="n">
        <f aca="false">IF(M360="No",0,IF(AND(L360="Si",M360="Si"),(I360-(E360+F360))/2,IF(M360="Si",(I360-(E360+F360)),0)))</f>
        <v>0</v>
      </c>
      <c r="M360" s="77" t="s">
        <v>74</v>
      </c>
      <c r="P360" s="1" t="n">
        <f aca="false">DAY(A360)</f>
        <v>30</v>
      </c>
    </row>
    <row r="361" customFormat="false" ht="15" hidden="false" customHeight="true" outlineLevel="0" collapsed="false">
      <c r="A361" s="83"/>
      <c r="G361" s="2" t="n">
        <f aca="false">IF(L361="No",0,IF(AND(L361="Si",M361="Si"),(I361-(E361+F361))/2,IF(L361="Si",(I361-(E361+F361)),0)))</f>
        <v>0</v>
      </c>
      <c r="H361" s="2" t="n">
        <f aca="false">IF(M361="No",0,IF(AND(L361="Si",M361="Si"),(I361-(E361+F361))/2,IF(M361="Si",(I361-(E361+F361)),0)))</f>
        <v>0</v>
      </c>
      <c r="M361" s="77" t="s">
        <v>74</v>
      </c>
      <c r="P361" s="1" t="n">
        <f aca="false">DAY(A361)</f>
        <v>30</v>
      </c>
    </row>
    <row r="362" customFormat="false" ht="15" hidden="false" customHeight="true" outlineLevel="0" collapsed="false">
      <c r="A362" s="83"/>
      <c r="G362" s="2" t="n">
        <f aca="false">IF(L362="No",0,IF(AND(L362="Si",M362="Si"),(I362-(E362+F362))/2,IF(L362="Si",(I362-(E362+F362)),0)))</f>
        <v>0</v>
      </c>
      <c r="H362" s="2" t="n">
        <f aca="false">IF(M362="No",0,IF(AND(L362="Si",M362="Si"),(I362-(E362+F362))/2,IF(M362="Si",(I362-(E362+F362)),0)))</f>
        <v>0</v>
      </c>
      <c r="M362" s="77" t="s">
        <v>74</v>
      </c>
      <c r="P362" s="1" t="n">
        <f aca="false">DAY(A362)</f>
        <v>30</v>
      </c>
    </row>
    <row r="363" customFormat="false" ht="15" hidden="false" customHeight="true" outlineLevel="0" collapsed="false">
      <c r="A363" s="83"/>
      <c r="G363" s="2" t="n">
        <f aca="false">IF(L363="No",0,IF(AND(L363="Si",M363="Si"),(I363-(E363+F363))/2,IF(L363="Si",(I363-(E363+F363)),0)))</f>
        <v>0</v>
      </c>
      <c r="H363" s="2" t="n">
        <f aca="false">IF(M363="No",0,IF(AND(L363="Si",M363="Si"),(I363-(E363+F363))/2,IF(M363="Si",(I363-(E363+F363)),0)))</f>
        <v>0</v>
      </c>
      <c r="M363" s="77" t="s">
        <v>74</v>
      </c>
      <c r="P363" s="1" t="n">
        <f aca="false">DAY(A363)</f>
        <v>30</v>
      </c>
    </row>
    <row r="364" customFormat="false" ht="15" hidden="false" customHeight="true" outlineLevel="0" collapsed="false">
      <c r="A364" s="83"/>
      <c r="G364" s="2" t="n">
        <f aca="false">IF(L364="No",0,IF(AND(L364="Si",M364="Si"),(I364-(E364+F364))/2,IF(L364="Si",(I364-(E364+F364)),0)))</f>
        <v>0</v>
      </c>
      <c r="H364" s="2" t="n">
        <f aca="false">IF(M364="No",0,IF(AND(L364="Si",M364="Si"),(I364-(E364+F364))/2,IF(M364="Si",(I364-(E364+F364)),0)))</f>
        <v>0</v>
      </c>
      <c r="M364" s="77" t="s">
        <v>74</v>
      </c>
      <c r="P364" s="1" t="n">
        <f aca="false">DAY(A364)</f>
        <v>30</v>
      </c>
    </row>
    <row r="365" customFormat="false" ht="15" hidden="false" customHeight="true" outlineLevel="0" collapsed="false">
      <c r="A365" s="83"/>
      <c r="G365" s="2" t="n">
        <f aca="false">IF(L365="No",0,IF(AND(L365="Si",M365="Si"),(I365-(E365+F365))/2,IF(L365="Si",(I365-(E365+F365)),0)))</f>
        <v>0</v>
      </c>
      <c r="H365" s="2" t="n">
        <f aca="false">IF(M365="No",0,IF(AND(L365="Si",M365="Si"),(I365-(E365+F365))/2,IF(M365="Si",(I365-(E365+F365)),0)))</f>
        <v>0</v>
      </c>
      <c r="M365" s="77" t="s">
        <v>74</v>
      </c>
      <c r="P365" s="1" t="n">
        <f aca="false">DAY(A365)</f>
        <v>30</v>
      </c>
    </row>
    <row r="366" customFormat="false" ht="15" hidden="false" customHeight="true" outlineLevel="0" collapsed="false">
      <c r="A366" s="83"/>
      <c r="G366" s="2" t="n">
        <f aca="false">IF(L366="No",0,IF(AND(L366="Si",M366="Si"),(I366-(E366+F366))/2,IF(L366="Si",(I366-(E366+F366)),0)))</f>
        <v>0</v>
      </c>
      <c r="H366" s="2" t="n">
        <f aca="false">IF(M366="No",0,IF(AND(L366="Si",M366="Si"),(I366-(E366+F366))/2,IF(M366="Si",(I366-(E366+F366)),0)))</f>
        <v>0</v>
      </c>
      <c r="M366" s="77" t="s">
        <v>74</v>
      </c>
      <c r="P366" s="1" t="n">
        <f aca="false">DAY(A366)</f>
        <v>30</v>
      </c>
    </row>
    <row r="367" customFormat="false" ht="15" hidden="false" customHeight="true" outlineLevel="0" collapsed="false">
      <c r="A367" s="83"/>
      <c r="G367" s="2" t="n">
        <f aca="false">IF(L367="No",0,IF(AND(L367="Si",M367="Si"),(I367-(E367+F367))/2,IF(L367="Si",(I367-(E367+F367)),0)))</f>
        <v>0</v>
      </c>
      <c r="H367" s="2" t="n">
        <f aca="false">IF(M367="No",0,IF(AND(L367="Si",M367="Si"),(I367-(E367+F367))/2,IF(M367="Si",(I367-(E367+F367)),0)))</f>
        <v>0</v>
      </c>
      <c r="M367" s="77" t="s">
        <v>74</v>
      </c>
      <c r="P367" s="1" t="n">
        <f aca="false">DAY(A367)</f>
        <v>30</v>
      </c>
    </row>
    <row r="368" customFormat="false" ht="15" hidden="false" customHeight="true" outlineLevel="0" collapsed="false">
      <c r="A368" s="83"/>
      <c r="G368" s="2" t="n">
        <f aca="false">IF(L368="No",0,IF(AND(L368="Si",M368="Si"),(I368-(E368+F368))/2,IF(L368="Si",(I368-(E368+F368)),0)))</f>
        <v>0</v>
      </c>
      <c r="H368" s="2" t="n">
        <f aca="false">IF(M368="No",0,IF(AND(L368="Si",M368="Si"),(I368-(E368+F368))/2,IF(M368="Si",(I368-(E368+F368)),0)))</f>
        <v>0</v>
      </c>
      <c r="M368" s="77" t="s">
        <v>74</v>
      </c>
      <c r="P368" s="1" t="n">
        <f aca="false">DAY(A368)</f>
        <v>30</v>
      </c>
    </row>
    <row r="369" customFormat="false" ht="15" hidden="false" customHeight="true" outlineLevel="0" collapsed="false">
      <c r="A369" s="83"/>
      <c r="G369" s="2" t="n">
        <f aca="false">IF(L369="No",0,IF(AND(L369="Si",M369="Si"),(I369-(E369+F369))/2,IF(L369="Si",(I369-(E369+F369)),0)))</f>
        <v>0</v>
      </c>
      <c r="H369" s="2" t="n">
        <f aca="false">IF(M369="No",0,IF(AND(L369="Si",M369="Si"),(I369-(E369+F369))/2,IF(M369="Si",(I369-(E369+F369)),0)))</f>
        <v>0</v>
      </c>
      <c r="M369" s="77" t="s">
        <v>74</v>
      </c>
      <c r="P369" s="1" t="n">
        <f aca="false">DAY(A369)</f>
        <v>30</v>
      </c>
    </row>
    <row r="370" customFormat="false" ht="15" hidden="false" customHeight="true" outlineLevel="0" collapsed="false">
      <c r="A370" s="83"/>
      <c r="G370" s="2" t="n">
        <f aca="false">IF(L370="No",0,IF(AND(L370="Si",M370="Si"),(I370-(E370+F370))/2,IF(L370="Si",(I370-(E370+F370)),0)))</f>
        <v>0</v>
      </c>
      <c r="H370" s="2" t="n">
        <f aca="false">IF(M370="No",0,IF(AND(L370="Si",M370="Si"),(I370-(E370+F370))/2,IF(M370="Si",(I370-(E370+F370)),0)))</f>
        <v>0</v>
      </c>
      <c r="M370" s="77" t="s">
        <v>74</v>
      </c>
      <c r="P370" s="1" t="n">
        <f aca="false">DAY(A370)</f>
        <v>30</v>
      </c>
    </row>
    <row r="371" customFormat="false" ht="15" hidden="false" customHeight="true" outlineLevel="0" collapsed="false">
      <c r="A371" s="83"/>
      <c r="G371" s="2" t="n">
        <f aca="false">IF(L371="No",0,IF(AND(L371="Si",M371="Si"),(I371-(E371+F371))/2,IF(L371="Si",(I371-(E371+F371)),0)))</f>
        <v>0</v>
      </c>
      <c r="H371" s="2" t="n">
        <f aca="false">IF(M371="No",0,IF(AND(L371="Si",M371="Si"),(I371-(E371+F371))/2,IF(M371="Si",(I371-(E371+F371)),0)))</f>
        <v>0</v>
      </c>
      <c r="M371" s="77" t="s">
        <v>74</v>
      </c>
      <c r="P371" s="1" t="n">
        <f aca="false">DAY(A371)</f>
        <v>30</v>
      </c>
    </row>
    <row r="372" customFormat="false" ht="15" hidden="false" customHeight="true" outlineLevel="0" collapsed="false">
      <c r="A372" s="83"/>
      <c r="G372" s="2" t="n">
        <f aca="false">IF(L372="No",0,IF(AND(L372="Si",M372="Si"),(I372-(E372+F372))/2,IF(L372="Si",(I372-(E372+F372)),0)))</f>
        <v>0</v>
      </c>
      <c r="H372" s="2" t="n">
        <f aca="false">IF(M372="No",0,IF(AND(L372="Si",M372="Si"),(I372-(E372+F372))/2,IF(M372="Si",(I372-(E372+F372)),0)))</f>
        <v>0</v>
      </c>
      <c r="M372" s="77" t="s">
        <v>74</v>
      </c>
      <c r="P372" s="1" t="n">
        <f aca="false">DAY(A372)</f>
        <v>30</v>
      </c>
    </row>
    <row r="373" customFormat="false" ht="15" hidden="false" customHeight="true" outlineLevel="0" collapsed="false">
      <c r="A373" s="83"/>
      <c r="G373" s="2" t="n">
        <f aca="false">IF(L373="No",0,IF(AND(L373="Si",M373="Si"),(I373-(E373+F373))/2,IF(L373="Si",(I373-(E373+F373)),0)))</f>
        <v>0</v>
      </c>
      <c r="H373" s="2" t="n">
        <f aca="false">IF(M373="No",0,IF(AND(L373="Si",M373="Si"),(I373-(E373+F373))/2,IF(M373="Si",(I373-(E373+F373)),0)))</f>
        <v>0</v>
      </c>
      <c r="M373" s="77" t="s">
        <v>74</v>
      </c>
      <c r="P373" s="1" t="n">
        <f aca="false">DAY(A373)</f>
        <v>30</v>
      </c>
    </row>
    <row r="374" customFormat="false" ht="15" hidden="false" customHeight="true" outlineLevel="0" collapsed="false">
      <c r="A374" s="83"/>
      <c r="G374" s="2" t="n">
        <f aca="false">IF(L374="No",0,IF(AND(L374="Si",M374="Si"),(I374-(E374+F374))/2,IF(L374="Si",(I374-(E374+F374)),0)))</f>
        <v>0</v>
      </c>
      <c r="H374" s="2" t="n">
        <f aca="false">IF(M374="No",0,IF(AND(L374="Si",M374="Si"),(I374-(E374+F374))/2,IF(M374="Si",(I374-(E374+F374)),0)))</f>
        <v>0</v>
      </c>
      <c r="M374" s="77" t="s">
        <v>74</v>
      </c>
      <c r="P374" s="1" t="n">
        <f aca="false">DAY(A374)</f>
        <v>30</v>
      </c>
    </row>
    <row r="375" customFormat="false" ht="15" hidden="false" customHeight="true" outlineLevel="0" collapsed="false">
      <c r="A375" s="83"/>
      <c r="G375" s="2" t="n">
        <f aca="false">IF(L375="No",0,IF(AND(L375="Si",M375="Si"),(I375-(E375+F375))/2,IF(L375="Si",(I375-(E375+F375)),0)))</f>
        <v>0</v>
      </c>
      <c r="H375" s="2" t="n">
        <f aca="false">IF(M375="No",0,IF(AND(L375="Si",M375="Si"),(I375-(E375+F375))/2,IF(M375="Si",(I375-(E375+F375)),0)))</f>
        <v>0</v>
      </c>
      <c r="M375" s="77" t="s">
        <v>74</v>
      </c>
      <c r="P375" s="1" t="n">
        <f aca="false">DAY(A375)</f>
        <v>30</v>
      </c>
    </row>
    <row r="376" customFormat="false" ht="15" hidden="false" customHeight="true" outlineLevel="0" collapsed="false">
      <c r="A376" s="83"/>
      <c r="G376" s="2" t="n">
        <f aca="false">IF(L376="No",0,IF(AND(L376="Si",M376="Si"),(I376-(E376+F376))/2,IF(L376="Si",(I376-(E376+F376)),0)))</f>
        <v>0</v>
      </c>
      <c r="H376" s="2" t="n">
        <f aca="false">IF(M376="No",0,IF(AND(L376="Si",M376="Si"),(I376-(E376+F376))/2,IF(M376="Si",(I376-(E376+F376)),0)))</f>
        <v>0</v>
      </c>
      <c r="M376" s="77" t="s">
        <v>74</v>
      </c>
      <c r="P376" s="1" t="n">
        <f aca="false">DAY(A376)</f>
        <v>30</v>
      </c>
    </row>
    <row r="377" customFormat="false" ht="15" hidden="false" customHeight="true" outlineLevel="0" collapsed="false">
      <c r="A377" s="83"/>
      <c r="G377" s="2" t="n">
        <f aca="false">IF(L377="No",0,IF(AND(L377="Si",M377="Si"),(I377-(E377+F377))/2,IF(L377="Si",(I377-(E377+F377)),0)))</f>
        <v>0</v>
      </c>
      <c r="H377" s="2" t="n">
        <f aca="false">IF(M377="No",0,IF(AND(L377="Si",M377="Si"),(I377-(E377+F377))/2,IF(M377="Si",(I377-(E377+F377)),0)))</f>
        <v>0</v>
      </c>
      <c r="M377" s="77" t="s">
        <v>74</v>
      </c>
      <c r="P377" s="1" t="n">
        <f aca="false">DAY(A377)</f>
        <v>30</v>
      </c>
    </row>
    <row r="378" customFormat="false" ht="15" hidden="false" customHeight="true" outlineLevel="0" collapsed="false">
      <c r="A378" s="83"/>
      <c r="G378" s="2" t="n">
        <f aca="false">IF(L378="No",0,IF(AND(L378="Si",M378="Si"),(I378-(E378+F378))/2,IF(L378="Si",(I378-(E378+F378)),0)))</f>
        <v>0</v>
      </c>
      <c r="H378" s="2" t="n">
        <f aca="false">IF(M378="No",0,IF(AND(L378="Si",M378="Si"),(I378-(E378+F378))/2,IF(M378="Si",(I378-(E378+F378)),0)))</f>
        <v>0</v>
      </c>
      <c r="M378" s="77" t="s">
        <v>74</v>
      </c>
      <c r="P378" s="1" t="n">
        <f aca="false">DAY(A378)</f>
        <v>30</v>
      </c>
    </row>
    <row r="379" customFormat="false" ht="15" hidden="false" customHeight="true" outlineLevel="0" collapsed="false">
      <c r="A379" s="83"/>
      <c r="G379" s="2" t="n">
        <f aca="false">IF(L379="No",0,IF(AND(L379="Si",M379="Si"),(I379-(E379+F379))/2,IF(L379="Si",(I379-(E379+F379)),0)))</f>
        <v>0</v>
      </c>
      <c r="H379" s="2" t="n">
        <f aca="false">IF(M379="No",0,IF(AND(L379="Si",M379="Si"),(I379-(E379+F379))/2,IF(M379="Si",(I379-(E379+F379)),0)))</f>
        <v>0</v>
      </c>
      <c r="M379" s="77" t="s">
        <v>74</v>
      </c>
      <c r="P379" s="1" t="n">
        <f aca="false">DAY(A379)</f>
        <v>30</v>
      </c>
    </row>
    <row r="380" customFormat="false" ht="15" hidden="false" customHeight="true" outlineLevel="0" collapsed="false">
      <c r="A380" s="83"/>
      <c r="G380" s="2" t="n">
        <f aca="false">IF(L380="No",0,IF(AND(L380="Si",M380="Si"),(I380-(E380+F380))/2,IF(L380="Si",(I380-(E380+F380)),0)))</f>
        <v>0</v>
      </c>
      <c r="H380" s="2" t="n">
        <f aca="false">IF(M380="No",0,IF(AND(L380="Si",M380="Si"),(I380-(E380+F380))/2,IF(M380="Si",(I380-(E380+F380)),0)))</f>
        <v>0</v>
      </c>
      <c r="M380" s="77" t="s">
        <v>74</v>
      </c>
      <c r="P380" s="1" t="n">
        <f aca="false">DAY(A380)</f>
        <v>30</v>
      </c>
    </row>
    <row r="381" customFormat="false" ht="15" hidden="false" customHeight="true" outlineLevel="0" collapsed="false">
      <c r="A381" s="83"/>
      <c r="G381" s="2" t="n">
        <f aca="false">IF(L381="No",0,IF(AND(L381="Si",M381="Si"),(I381-(E381+F381))/2,IF(L381="Si",(I381-(E381+F381)),0)))</f>
        <v>0</v>
      </c>
      <c r="H381" s="2" t="n">
        <f aca="false">IF(M381="No",0,IF(AND(L381="Si",M381="Si"),(I381-(E381+F381))/2,IF(M381="Si",(I381-(E381+F381)),0)))</f>
        <v>0</v>
      </c>
      <c r="M381" s="77" t="s">
        <v>74</v>
      </c>
      <c r="P381" s="1" t="n">
        <f aca="false">DAY(A381)</f>
        <v>30</v>
      </c>
    </row>
    <row r="382" customFormat="false" ht="15" hidden="false" customHeight="true" outlineLevel="0" collapsed="false">
      <c r="A382" s="83"/>
      <c r="G382" s="2" t="n">
        <f aca="false">IF(L382="No",0,IF(AND(L382="Si",M382="Si"),(I382-(E382+F382))/2,IF(L382="Si",(I382-(E382+F382)),0)))</f>
        <v>0</v>
      </c>
      <c r="H382" s="2" t="n">
        <f aca="false">IF(M382="No",0,IF(AND(L382="Si",M382="Si"),(I382-(E382+F382))/2,IF(M382="Si",(I382-(E382+F382)),0)))</f>
        <v>0</v>
      </c>
      <c r="M382" s="77" t="s">
        <v>74</v>
      </c>
      <c r="P382" s="1" t="n">
        <f aca="false">DAY(A382)</f>
        <v>30</v>
      </c>
    </row>
    <row r="383" customFormat="false" ht="15" hidden="false" customHeight="true" outlineLevel="0" collapsed="false">
      <c r="A383" s="83"/>
      <c r="G383" s="2" t="n">
        <f aca="false">IF(L383="No",0,IF(AND(L383="Si",M383="Si"),(I383-(E383+F383))/2,IF(L383="Si",(I383-(E383+F383)),0)))</f>
        <v>0</v>
      </c>
      <c r="H383" s="2" t="n">
        <f aca="false">IF(M383="No",0,IF(AND(L383="Si",M383="Si"),(I383-(E383+F383))/2,IF(M383="Si",(I383-(E383+F383)),0)))</f>
        <v>0</v>
      </c>
      <c r="M383" s="77" t="s">
        <v>74</v>
      </c>
      <c r="P383" s="1" t="n">
        <f aca="false">DAY(A383)</f>
        <v>30</v>
      </c>
    </row>
    <row r="384" customFormat="false" ht="15" hidden="false" customHeight="true" outlineLevel="0" collapsed="false">
      <c r="A384" s="83"/>
      <c r="G384" s="2" t="n">
        <f aca="false">IF(L384="No",0,IF(AND(L384="Si",M384="Si"),(I384-(E384+F384))/2,IF(L384="Si",(I384-(E384+F384)),0)))</f>
        <v>0</v>
      </c>
      <c r="H384" s="2" t="n">
        <f aca="false">IF(M384="No",0,IF(AND(L384="Si",M384="Si"),(I384-(E384+F384))/2,IF(M384="Si",(I384-(E384+F384)),0)))</f>
        <v>0</v>
      </c>
      <c r="M384" s="77" t="s">
        <v>74</v>
      </c>
      <c r="P384" s="1" t="n">
        <f aca="false">DAY(A384)</f>
        <v>30</v>
      </c>
    </row>
    <row r="385" customFormat="false" ht="15" hidden="false" customHeight="true" outlineLevel="0" collapsed="false">
      <c r="A385" s="83"/>
      <c r="G385" s="2" t="n">
        <f aca="false">IF(L385="No",0,IF(AND(L385="Si",M385="Si"),(I385-(E385+F385))/2,IF(L385="Si",(I385-(E385+F385)),0)))</f>
        <v>0</v>
      </c>
      <c r="H385" s="2" t="n">
        <f aca="false">IF(M385="No",0,IF(AND(L385="Si",M385="Si"),(I385-(E385+F385))/2,IF(M385="Si",(I385-(E385+F385)),0)))</f>
        <v>0</v>
      </c>
      <c r="M385" s="77" t="s">
        <v>74</v>
      </c>
      <c r="P385" s="1" t="n">
        <f aca="false">DAY(A385)</f>
        <v>30</v>
      </c>
    </row>
    <row r="386" customFormat="false" ht="15" hidden="false" customHeight="true" outlineLevel="0" collapsed="false">
      <c r="A386" s="83"/>
      <c r="G386" s="2" t="n">
        <f aca="false">IF(L386="No",0,IF(AND(L386="Si",M386="Si"),(I386-(E386+F386))/2,IF(L386="Si",(I386-(E386+F386)),0)))</f>
        <v>0</v>
      </c>
      <c r="H386" s="2" t="n">
        <f aca="false">IF(M386="No",0,IF(AND(L386="Si",M386="Si"),(I386-(E386+F386))/2,IF(M386="Si",(I386-(E386+F386)),0)))</f>
        <v>0</v>
      </c>
      <c r="M386" s="77" t="s">
        <v>74</v>
      </c>
      <c r="P386" s="1" t="n">
        <f aca="false">DAY(A386)</f>
        <v>30</v>
      </c>
    </row>
    <row r="387" customFormat="false" ht="15" hidden="false" customHeight="true" outlineLevel="0" collapsed="false">
      <c r="A387" s="83"/>
      <c r="G387" s="2" t="n">
        <f aca="false">IF(L387="No",0,IF(AND(L387="Si",M387="Si"),(I387-(E387+F387))/2,IF(L387="Si",(I387-(E387+F387)),0)))</f>
        <v>0</v>
      </c>
      <c r="H387" s="2" t="n">
        <f aca="false">IF(M387="No",0,IF(AND(L387="Si",M387="Si"),(I387-(E387+F387))/2,IF(M387="Si",(I387-(E387+F387)),0)))</f>
        <v>0</v>
      </c>
      <c r="M387" s="77" t="s">
        <v>74</v>
      </c>
      <c r="P387" s="1" t="n">
        <f aca="false">DAY(A387)</f>
        <v>30</v>
      </c>
    </row>
    <row r="388" customFormat="false" ht="15" hidden="false" customHeight="true" outlineLevel="0" collapsed="false">
      <c r="A388" s="83"/>
      <c r="G388" s="2" t="n">
        <f aca="false">IF(L388="No",0,IF(AND(L388="Si",M388="Si"),(I388-(E388+F388))/2,IF(L388="Si",(I388-(E388+F388)),0)))</f>
        <v>0</v>
      </c>
      <c r="H388" s="2" t="n">
        <f aca="false">IF(M388="No",0,IF(AND(L388="Si",M388="Si"),(I388-(E388+F388))/2,IF(M388="Si",(I388-(E388+F388)),0)))</f>
        <v>0</v>
      </c>
      <c r="M388" s="77" t="s">
        <v>74</v>
      </c>
      <c r="P388" s="1" t="n">
        <f aca="false">DAY(A388)</f>
        <v>30</v>
      </c>
    </row>
    <row r="389" customFormat="false" ht="15" hidden="false" customHeight="true" outlineLevel="0" collapsed="false">
      <c r="A389" s="83"/>
      <c r="G389" s="2" t="n">
        <f aca="false">IF(L389="No",0,IF(AND(L389="Si",M389="Si"),(I389-(E389+F389))/2,IF(L389="Si",(I389-(E389+F389)),0)))</f>
        <v>0</v>
      </c>
      <c r="H389" s="2" t="n">
        <f aca="false">IF(M389="No",0,IF(AND(L389="Si",M389="Si"),(I389-(E389+F389))/2,IF(M389="Si",(I389-(E389+F389)),0)))</f>
        <v>0</v>
      </c>
      <c r="M389" s="77" t="s">
        <v>74</v>
      </c>
      <c r="P389" s="1" t="n">
        <f aca="false">DAY(A389)</f>
        <v>30</v>
      </c>
    </row>
    <row r="390" customFormat="false" ht="15" hidden="false" customHeight="true" outlineLevel="0" collapsed="false">
      <c r="A390" s="83"/>
      <c r="G390" s="2" t="n">
        <f aca="false">IF(L390="No",0,IF(AND(L390="Si",M390="Si"),(I390-(E390+F390))/2,IF(L390="Si",(I390-(E390+F390)),0)))</f>
        <v>0</v>
      </c>
      <c r="H390" s="2" t="n">
        <f aca="false">IF(M390="No",0,IF(AND(L390="Si",M390="Si"),(I390-(E390+F390))/2,IF(M390="Si",(I390-(E390+F390)),0)))</f>
        <v>0</v>
      </c>
      <c r="M390" s="77" t="s">
        <v>74</v>
      </c>
      <c r="P390" s="1" t="n">
        <f aca="false">DAY(A390)</f>
        <v>30</v>
      </c>
    </row>
    <row r="391" customFormat="false" ht="15" hidden="false" customHeight="true" outlineLevel="0" collapsed="false">
      <c r="A391" s="83"/>
      <c r="G391" s="2" t="n">
        <f aca="false">IF(L391="No",0,IF(AND(L391="Si",M391="Si"),(I391-(E391+F391))/2,IF(L391="Si",(I391-(E391+F391)),0)))</f>
        <v>0</v>
      </c>
      <c r="H391" s="2" t="n">
        <f aca="false">IF(M391="No",0,IF(AND(L391="Si",M391="Si"),(I391-(E391+F391))/2,IF(M391="Si",(I391-(E391+F391)),0)))</f>
        <v>0</v>
      </c>
      <c r="M391" s="77" t="s">
        <v>74</v>
      </c>
      <c r="P391" s="1" t="n">
        <f aca="false">DAY(A391)</f>
        <v>30</v>
      </c>
    </row>
    <row r="392" customFormat="false" ht="15" hidden="false" customHeight="true" outlineLevel="0" collapsed="false">
      <c r="A392" s="83"/>
      <c r="G392" s="2" t="n">
        <f aca="false">IF(L392="No",0,IF(AND(L392="Si",M392="Si"),(I392-(E392+F392))/2,IF(L392="Si",(I392-(E392+F392)),0)))</f>
        <v>0</v>
      </c>
      <c r="H392" s="2" t="n">
        <f aca="false">IF(M392="No",0,IF(AND(L392="Si",M392="Si"),(I392-(E392+F392))/2,IF(M392="Si",(I392-(E392+F392)),0)))</f>
        <v>0</v>
      </c>
      <c r="M392" s="77" t="s">
        <v>74</v>
      </c>
      <c r="P392" s="1" t="n">
        <f aca="false">DAY(A392)</f>
        <v>30</v>
      </c>
    </row>
    <row r="393" customFormat="false" ht="15" hidden="false" customHeight="true" outlineLevel="0" collapsed="false">
      <c r="A393" s="83"/>
      <c r="G393" s="2" t="n">
        <f aca="false">IF(L393="No",0,IF(AND(L393="Si",M393="Si"),(I393-(E393+F393))/2,IF(L393="Si",(I393-(E393+F393)),0)))</f>
        <v>0</v>
      </c>
      <c r="H393" s="2" t="n">
        <f aca="false">IF(M393="No",0,IF(AND(L393="Si",M393="Si"),(I393-(E393+F393))/2,IF(M393="Si",(I393-(E393+F393)),0)))</f>
        <v>0</v>
      </c>
      <c r="M393" s="77" t="s">
        <v>74</v>
      </c>
      <c r="P393" s="1" t="n">
        <f aca="false">DAY(A393)</f>
        <v>30</v>
      </c>
    </row>
    <row r="394" customFormat="false" ht="15" hidden="false" customHeight="true" outlineLevel="0" collapsed="false">
      <c r="A394" s="83"/>
      <c r="G394" s="2" t="n">
        <f aca="false">IF(L394="No",0,IF(AND(L394="Si",M394="Si"),(I394-(E394+F394))/2,IF(L394="Si",(I394-(E394+F394)),0)))</f>
        <v>0</v>
      </c>
      <c r="H394" s="2" t="n">
        <f aca="false">IF(M394="No",0,IF(AND(L394="Si",M394="Si"),(I394-(E394+F394))/2,IF(M394="Si",(I394-(E394+F394)),0)))</f>
        <v>0</v>
      </c>
      <c r="M394" s="77" t="s">
        <v>74</v>
      </c>
      <c r="P394" s="1" t="n">
        <f aca="false">DAY(A394)</f>
        <v>30</v>
      </c>
    </row>
    <row r="395" customFormat="false" ht="15" hidden="false" customHeight="true" outlineLevel="0" collapsed="false">
      <c r="A395" s="83"/>
      <c r="G395" s="2" t="n">
        <f aca="false">IF(L395="No",0,IF(AND(L395="Si",M395="Si"),(I395-(E395+F395))/2,IF(L395="Si",(I395-(E395+F395)),0)))</f>
        <v>0</v>
      </c>
      <c r="H395" s="2" t="n">
        <f aca="false">IF(M395="No",0,IF(AND(L395="Si",M395="Si"),(I395-(E395+F395))/2,IF(M395="Si",(I395-(E395+F395)),0)))</f>
        <v>0</v>
      </c>
      <c r="M395" s="77" t="s">
        <v>74</v>
      </c>
      <c r="P395" s="1" t="n">
        <f aca="false">DAY(A395)</f>
        <v>30</v>
      </c>
    </row>
    <row r="396" customFormat="false" ht="15" hidden="false" customHeight="true" outlineLevel="0" collapsed="false">
      <c r="A396" s="83"/>
      <c r="G396" s="2" t="n">
        <f aca="false">IF(L396="No",0,IF(AND(L396="Si",M396="Si"),(I396-(E396+F396))/2,IF(L396="Si",(I396-(E396+F396)),0)))</f>
        <v>0</v>
      </c>
      <c r="H396" s="2" t="n">
        <f aca="false">IF(M396="No",0,IF(AND(L396="Si",M396="Si"),(I396-(E396+F396))/2,IF(M396="Si",(I396-(E396+F396)),0)))</f>
        <v>0</v>
      </c>
      <c r="M396" s="77" t="s">
        <v>74</v>
      </c>
      <c r="P396" s="1" t="n">
        <f aca="false">DAY(A396)</f>
        <v>30</v>
      </c>
    </row>
    <row r="397" customFormat="false" ht="15" hidden="false" customHeight="true" outlineLevel="0" collapsed="false">
      <c r="A397" s="83"/>
      <c r="G397" s="2" t="n">
        <f aca="false">IF(L397="No",0,IF(AND(L397="Si",M397="Si"),(I397-(E397+F397))/2,IF(L397="Si",(I397-(E397+F397)),0)))</f>
        <v>0</v>
      </c>
      <c r="H397" s="2" t="n">
        <f aca="false">IF(M397="No",0,IF(AND(L397="Si",M397="Si"),(I397-(E397+F397))/2,IF(M397="Si",(I397-(E397+F397)),0)))</f>
        <v>0</v>
      </c>
      <c r="M397" s="77" t="s">
        <v>74</v>
      </c>
      <c r="P397" s="1" t="n">
        <f aca="false">DAY(A397)</f>
        <v>30</v>
      </c>
    </row>
    <row r="398" customFormat="false" ht="15" hidden="false" customHeight="true" outlineLevel="0" collapsed="false">
      <c r="A398" s="83"/>
      <c r="G398" s="2" t="n">
        <f aca="false">IF(L398="No",0,IF(AND(L398="Si",M398="Si"),(I398-(E398+F398))/2,IF(L398="Si",(I398-(E398+F398)),0)))</f>
        <v>0</v>
      </c>
      <c r="H398" s="2" t="n">
        <f aca="false">IF(M398="No",0,IF(AND(L398="Si",M398="Si"),(I398-(E398+F398))/2,IF(M398="Si",(I398-(E398+F398)),0)))</f>
        <v>0</v>
      </c>
      <c r="M398" s="77" t="s">
        <v>74</v>
      </c>
      <c r="P398" s="1" t="n">
        <f aca="false">DAY(A398)</f>
        <v>30</v>
      </c>
    </row>
    <row r="399" customFormat="false" ht="15" hidden="false" customHeight="true" outlineLevel="0" collapsed="false">
      <c r="A399" s="83"/>
      <c r="G399" s="2" t="n">
        <f aca="false">IF(L399="No",0,IF(AND(L399="Si",M399="Si"),(I399-(E399+F399))/2,IF(L399="Si",(I399-(E399+F399)),0)))</f>
        <v>0</v>
      </c>
      <c r="H399" s="2" t="n">
        <f aca="false">IF(M399="No",0,IF(AND(L399="Si",M399="Si"),(I399-(E399+F399))/2,IF(M399="Si",(I399-(E399+F399)),0)))</f>
        <v>0</v>
      </c>
      <c r="M399" s="77" t="s">
        <v>74</v>
      </c>
      <c r="P399" s="1" t="n">
        <f aca="false">DAY(A399)</f>
        <v>30</v>
      </c>
    </row>
    <row r="400" customFormat="false" ht="15" hidden="false" customHeight="true" outlineLevel="0" collapsed="false">
      <c r="A400" s="83"/>
      <c r="G400" s="2" t="n">
        <f aca="false">IF(L400="No",0,IF(AND(L400="Si",M400="Si"),(I400-(E400+F400))/2,IF(L400="Si",(I400-(E400+F400)),0)))</f>
        <v>0</v>
      </c>
      <c r="H400" s="2" t="n">
        <f aca="false">IF(M400="No",0,IF(AND(L400="Si",M400="Si"),(I400-(E400+F400))/2,IF(M400="Si",(I400-(E400+F400)),0)))</f>
        <v>0</v>
      </c>
      <c r="M400" s="77" t="s">
        <v>74</v>
      </c>
      <c r="P400" s="1" t="n">
        <f aca="false">DAY(A400)</f>
        <v>30</v>
      </c>
    </row>
    <row r="401" customFormat="false" ht="15" hidden="false" customHeight="true" outlineLevel="0" collapsed="false">
      <c r="A401" s="83"/>
      <c r="G401" s="2" t="n">
        <f aca="false">IF(L401="No",0,IF(AND(L401="Si",M401="Si"),(I401-(E401+F401))/2,IF(L401="Si",(I401-(E401+F401)),0)))</f>
        <v>0</v>
      </c>
      <c r="H401" s="2" t="n">
        <f aca="false">IF(M401="No",0,IF(AND(L401="Si",M401="Si"),(I401-(E401+F401))/2,IF(M401="Si",(I401-(E401+F401)),0)))</f>
        <v>0</v>
      </c>
      <c r="M401" s="77" t="s">
        <v>74</v>
      </c>
      <c r="P401" s="1" t="n">
        <f aca="false">DAY(A401)</f>
        <v>30</v>
      </c>
    </row>
    <row r="402" customFormat="false" ht="15" hidden="false" customHeight="true" outlineLevel="0" collapsed="false">
      <c r="A402" s="83"/>
      <c r="G402" s="2" t="n">
        <f aca="false">IF(L402="No",0,IF(AND(L402="Si",M402="Si"),(I402-(E402+F402))/2,IF(L402="Si",(I402-(E402+F402)),0)))</f>
        <v>0</v>
      </c>
      <c r="H402" s="2" t="n">
        <f aca="false">IF(M402="No",0,IF(AND(L402="Si",M402="Si"),(I402-(E402+F402))/2,IF(M402="Si",(I402-(E402+F402)),0)))</f>
        <v>0</v>
      </c>
      <c r="M402" s="77" t="s">
        <v>74</v>
      </c>
      <c r="P402" s="1" t="n">
        <f aca="false">DAY(A402)</f>
        <v>30</v>
      </c>
    </row>
    <row r="403" customFormat="false" ht="15" hidden="false" customHeight="true" outlineLevel="0" collapsed="false">
      <c r="A403" s="83"/>
      <c r="G403" s="2" t="n">
        <f aca="false">IF(L403="No",0,IF(AND(L403="Si",M403="Si"),(I403-(E403+F403))/2,IF(L403="Si",(I403-(E403+F403)),0)))</f>
        <v>0</v>
      </c>
      <c r="H403" s="2" t="n">
        <f aca="false">IF(M403="No",0,IF(AND(L403="Si",M403="Si"),(I403-(E403+F403))/2,IF(M403="Si",(I403-(E403+F403)),0)))</f>
        <v>0</v>
      </c>
      <c r="M403" s="77" t="s">
        <v>74</v>
      </c>
      <c r="P403" s="1" t="n">
        <f aca="false">DAY(A403)</f>
        <v>30</v>
      </c>
    </row>
    <row r="404" customFormat="false" ht="15" hidden="false" customHeight="true" outlineLevel="0" collapsed="false">
      <c r="A404" s="83"/>
      <c r="G404" s="2" t="n">
        <f aca="false">IF(L404="No",0,IF(AND(L404="Si",M404="Si"),(I404-(E404+F404))/2,IF(L404="Si",(I404-(E404+F404)),0)))</f>
        <v>0</v>
      </c>
      <c r="H404" s="2" t="n">
        <f aca="false">IF(M404="No",0,IF(AND(L404="Si",M404="Si"),(I404-(E404+F404))/2,IF(M404="Si",(I404-(E404+F404)),0)))</f>
        <v>0</v>
      </c>
      <c r="M404" s="77" t="s">
        <v>74</v>
      </c>
      <c r="P404" s="1" t="n">
        <f aca="false">DAY(A404)</f>
        <v>30</v>
      </c>
    </row>
    <row r="405" customFormat="false" ht="15" hidden="false" customHeight="true" outlineLevel="0" collapsed="false">
      <c r="A405" s="83"/>
      <c r="G405" s="2" t="n">
        <f aca="false">IF(L405="No",0,IF(AND(L405="Si",M405="Si"),(I405-(E405+F405))/2,IF(L405="Si",(I405-(E405+F405)),0)))</f>
        <v>0</v>
      </c>
      <c r="H405" s="2" t="n">
        <f aca="false">IF(M405="No",0,IF(AND(L405="Si",M405="Si"),(I405-(E405+F405))/2,IF(M405="Si",(I405-(E405+F405)),0)))</f>
        <v>0</v>
      </c>
      <c r="M405" s="77" t="s">
        <v>74</v>
      </c>
      <c r="P405" s="1" t="n">
        <f aca="false">DAY(A405)</f>
        <v>30</v>
      </c>
    </row>
    <row r="406" customFormat="false" ht="15" hidden="false" customHeight="true" outlineLevel="0" collapsed="false">
      <c r="A406" s="83"/>
      <c r="G406" s="2" t="n">
        <f aca="false">IF(L406="No",0,IF(AND(L406="Si",M406="Si"),(I406-(E406+F406))/2,IF(L406="Si",(I406-(E406+F406)),0)))</f>
        <v>0</v>
      </c>
      <c r="H406" s="2" t="n">
        <f aca="false">IF(M406="No",0,IF(AND(L406="Si",M406="Si"),(I406-(E406+F406))/2,IF(M406="Si",(I406-(E406+F406)),0)))</f>
        <v>0</v>
      </c>
      <c r="M406" s="77" t="s">
        <v>74</v>
      </c>
      <c r="P406" s="1" t="n">
        <f aca="false">DAY(A406)</f>
        <v>30</v>
      </c>
    </row>
    <row r="407" customFormat="false" ht="15" hidden="false" customHeight="true" outlineLevel="0" collapsed="false">
      <c r="A407" s="83"/>
      <c r="G407" s="2" t="n">
        <f aca="false">IF(L407="No",0,IF(AND(L407="Si",M407="Si"),(I407-(E407+F407))/2,IF(L407="Si",(I407-(E407+F407)),0)))</f>
        <v>0</v>
      </c>
      <c r="H407" s="2" t="n">
        <f aca="false">IF(M407="No",0,IF(AND(L407="Si",M407="Si"),(I407-(E407+F407))/2,IF(M407="Si",(I407-(E407+F407)),0)))</f>
        <v>0</v>
      </c>
      <c r="M407" s="77" t="s">
        <v>74</v>
      </c>
      <c r="P407" s="1" t="n">
        <f aca="false">DAY(A407)</f>
        <v>30</v>
      </c>
    </row>
    <row r="408" customFormat="false" ht="15" hidden="false" customHeight="true" outlineLevel="0" collapsed="false">
      <c r="A408" s="83"/>
      <c r="G408" s="2" t="n">
        <f aca="false">IF(L408="No",0,IF(AND(L408="Si",M408="Si"),(I408-(E408+F408))/2,IF(L408="Si",(I408-(E408+F408)),0)))</f>
        <v>0</v>
      </c>
      <c r="H408" s="2" t="n">
        <f aca="false">IF(M408="No",0,IF(AND(L408="Si",M408="Si"),(I408-(E408+F408))/2,IF(M408="Si",(I408-(E408+F408)),0)))</f>
        <v>0</v>
      </c>
      <c r="M408" s="77" t="s">
        <v>74</v>
      </c>
      <c r="P408" s="1" t="n">
        <f aca="false">DAY(A408)</f>
        <v>30</v>
      </c>
    </row>
    <row r="409" customFormat="false" ht="15" hidden="false" customHeight="true" outlineLevel="0" collapsed="false">
      <c r="A409" s="83"/>
      <c r="G409" s="2" t="n">
        <f aca="false">IF(L409="No",0,IF(AND(L409="Si",M409="Si"),(I409-(E409+F409))/2,IF(L409="Si",(I409-(E409+F409)),0)))</f>
        <v>0</v>
      </c>
      <c r="H409" s="2" t="n">
        <f aca="false">IF(M409="No",0,IF(AND(L409="Si",M409="Si"),(I409-(E409+F409))/2,IF(M409="Si",(I409-(E409+F409)),0)))</f>
        <v>0</v>
      </c>
      <c r="M409" s="77" t="s">
        <v>74</v>
      </c>
      <c r="P409" s="1" t="n">
        <f aca="false">DAY(A409)</f>
        <v>30</v>
      </c>
    </row>
    <row r="410" customFormat="false" ht="15" hidden="false" customHeight="true" outlineLevel="0" collapsed="false">
      <c r="A410" s="83"/>
      <c r="G410" s="2" t="n">
        <f aca="false">IF(L410="No",0,IF(AND(L410="Si",M410="Si"),(I410-(E410+F410))/2,IF(L410="Si",(I410-(E410+F410)),0)))</f>
        <v>0</v>
      </c>
      <c r="H410" s="2" t="n">
        <f aca="false">IF(M410="No",0,IF(AND(L410="Si",M410="Si"),(I410-(E410+F410))/2,IF(M410="Si",(I410-(E410+F410)),0)))</f>
        <v>0</v>
      </c>
      <c r="M410" s="77" t="s">
        <v>74</v>
      </c>
      <c r="P410" s="1" t="n">
        <f aca="false">DAY(A410)</f>
        <v>30</v>
      </c>
    </row>
    <row r="411" customFormat="false" ht="15" hidden="false" customHeight="true" outlineLevel="0" collapsed="false">
      <c r="A411" s="83"/>
      <c r="G411" s="2" t="n">
        <f aca="false">IF(L411="No",0,IF(AND(L411="Si",M411="Si"),(I411-(E411+F411))/2,IF(L411="Si",(I411-(E411+F411)),0)))</f>
        <v>0</v>
      </c>
      <c r="H411" s="2" t="n">
        <f aca="false">IF(M411="No",0,IF(AND(L411="Si",M411="Si"),(I411-(E411+F411))/2,IF(M411="Si",(I411-(E411+F411)),0)))</f>
        <v>0</v>
      </c>
      <c r="M411" s="77" t="s">
        <v>74</v>
      </c>
      <c r="P411" s="1" t="n">
        <f aca="false">DAY(A411)</f>
        <v>30</v>
      </c>
    </row>
    <row r="412" customFormat="false" ht="15" hidden="false" customHeight="true" outlineLevel="0" collapsed="false">
      <c r="A412" s="83"/>
      <c r="G412" s="2" t="n">
        <f aca="false">IF(L412="No",0,IF(AND(L412="Si",M412="Si"),(I412-(E412+F412))/2,IF(L412="Si",(I412-(E412+F412)),0)))</f>
        <v>0</v>
      </c>
      <c r="H412" s="2" t="n">
        <f aca="false">IF(M412="No",0,IF(AND(L412="Si",M412="Si"),(I412-(E412+F412))/2,IF(M412="Si",(I412-(E412+F412)),0)))</f>
        <v>0</v>
      </c>
      <c r="M412" s="77" t="s">
        <v>74</v>
      </c>
      <c r="P412" s="1" t="n">
        <f aca="false">DAY(A412)</f>
        <v>30</v>
      </c>
    </row>
    <row r="413" customFormat="false" ht="15" hidden="false" customHeight="true" outlineLevel="0" collapsed="false">
      <c r="A413" s="83"/>
      <c r="G413" s="2" t="n">
        <f aca="false">IF(L413="No",0,IF(AND(L413="Si",M413="Si"),(I413-(E413+F413))/2,IF(L413="Si",(I413-(E413+F413)),0)))</f>
        <v>0</v>
      </c>
      <c r="H413" s="2" t="n">
        <f aca="false">IF(M413="No",0,IF(AND(L413="Si",M413="Si"),(I413-(E413+F413))/2,IF(M413="Si",(I413-(E413+F413)),0)))</f>
        <v>0</v>
      </c>
      <c r="M413" s="77" t="s">
        <v>74</v>
      </c>
      <c r="P413" s="1" t="n">
        <f aca="false">DAY(A413)</f>
        <v>30</v>
      </c>
    </row>
    <row r="414" customFormat="false" ht="15" hidden="false" customHeight="true" outlineLevel="0" collapsed="false">
      <c r="A414" s="83"/>
      <c r="G414" s="2" t="n">
        <f aca="false">IF(L414="No",0,IF(AND(L414="Si",M414="Si"),(I414-(E414+F414))/2,IF(L414="Si",(I414-(E414+F414)),0)))</f>
        <v>0</v>
      </c>
      <c r="H414" s="2" t="n">
        <f aca="false">IF(M414="No",0,IF(AND(L414="Si",M414="Si"),(I414-(E414+F414))/2,IF(M414="Si",(I414-(E414+F414)),0)))</f>
        <v>0</v>
      </c>
      <c r="M414" s="77" t="s">
        <v>74</v>
      </c>
      <c r="P414" s="1" t="n">
        <f aca="false">DAY(A414)</f>
        <v>30</v>
      </c>
    </row>
    <row r="415" customFormat="false" ht="15" hidden="false" customHeight="true" outlineLevel="0" collapsed="false">
      <c r="A415" s="83"/>
      <c r="G415" s="2" t="n">
        <f aca="false">IF(L415="No",0,IF(AND(L415="Si",M415="Si"),(I415-(E415+F415))/2,IF(L415="Si",(I415-(E415+F415)),0)))</f>
        <v>0</v>
      </c>
      <c r="H415" s="2" t="n">
        <f aca="false">IF(M415="No",0,IF(AND(L415="Si",M415="Si"),(I415-(E415+F415))/2,IF(M415="Si",(I415-(E415+F415)),0)))</f>
        <v>0</v>
      </c>
      <c r="M415" s="77" t="s">
        <v>74</v>
      </c>
      <c r="P415" s="1" t="n">
        <f aca="false">DAY(A415)</f>
        <v>30</v>
      </c>
    </row>
    <row r="416" customFormat="false" ht="15" hidden="false" customHeight="true" outlineLevel="0" collapsed="false">
      <c r="A416" s="83"/>
      <c r="G416" s="2" t="n">
        <f aca="false">IF(L416="No",0,IF(AND(L416="Si",M416="Si"),(I416-(E416+F416))/2,IF(L416="Si",(I416-(E416+F416)),0)))</f>
        <v>0</v>
      </c>
      <c r="H416" s="2" t="n">
        <f aca="false">IF(M416="No",0,IF(AND(L416="Si",M416="Si"),(I416-(E416+F416))/2,IF(M416="Si",(I416-(E416+F416)),0)))</f>
        <v>0</v>
      </c>
      <c r="M416" s="77" t="s">
        <v>74</v>
      </c>
      <c r="P416" s="1" t="n">
        <f aca="false">DAY(A416)</f>
        <v>30</v>
      </c>
    </row>
    <row r="417" customFormat="false" ht="15" hidden="false" customHeight="true" outlineLevel="0" collapsed="false">
      <c r="A417" s="83"/>
      <c r="G417" s="2" t="n">
        <f aca="false">IF(L417="No",0,IF(AND(L417="Si",M417="Si"),(I417-(E417+F417))/2,IF(L417="Si",(I417-(E417+F417)),0)))</f>
        <v>0</v>
      </c>
      <c r="H417" s="2" t="n">
        <f aca="false">IF(M417="No",0,IF(AND(L417="Si",M417="Si"),(I417-(E417+F417))/2,IF(M417="Si",(I417-(E417+F417)),0)))</f>
        <v>0</v>
      </c>
      <c r="M417" s="77" t="s">
        <v>74</v>
      </c>
      <c r="P417" s="1" t="n">
        <f aca="false">DAY(A417)</f>
        <v>30</v>
      </c>
    </row>
    <row r="418" customFormat="false" ht="15" hidden="false" customHeight="true" outlineLevel="0" collapsed="false">
      <c r="A418" s="83"/>
      <c r="G418" s="2" t="n">
        <f aca="false">IF(L418="No",0,IF(AND(L418="Si",M418="Si"),(I418-(E418+F418))/2,IF(L418="Si",(I418-(E418+F418)),0)))</f>
        <v>0</v>
      </c>
      <c r="H418" s="2" t="n">
        <f aca="false">IF(M418="No",0,IF(AND(L418="Si",M418="Si"),(I418-(E418+F418))/2,IF(M418="Si",(I418-(E418+F418)),0)))</f>
        <v>0</v>
      </c>
      <c r="M418" s="77" t="s">
        <v>74</v>
      </c>
      <c r="P418" s="1" t="n">
        <f aca="false">DAY(A418)</f>
        <v>30</v>
      </c>
    </row>
    <row r="419" customFormat="false" ht="15" hidden="false" customHeight="true" outlineLevel="0" collapsed="false">
      <c r="A419" s="83"/>
      <c r="G419" s="2" t="n">
        <f aca="false">IF(L419="No",0,IF(AND(L419="Si",M419="Si"),(I419-(E419+F419))/2,IF(L419="Si",(I419-(E419+F419)),0)))</f>
        <v>0</v>
      </c>
      <c r="H419" s="2" t="n">
        <f aca="false">IF(M419="No",0,IF(AND(L419="Si",M419="Si"),(I419-(E419+F419))/2,IF(M419="Si",(I419-(E419+F419)),0)))</f>
        <v>0</v>
      </c>
      <c r="M419" s="77" t="s">
        <v>74</v>
      </c>
      <c r="P419" s="1" t="n">
        <f aca="false">DAY(A419)</f>
        <v>30</v>
      </c>
    </row>
    <row r="420" customFormat="false" ht="15" hidden="false" customHeight="true" outlineLevel="0" collapsed="false">
      <c r="A420" s="83"/>
      <c r="G420" s="2" t="n">
        <f aca="false">IF(L420="No",0,IF(AND(L420="Si",M420="Si"),(I420-(E420+F420))/2,IF(L420="Si",(I420-(E420+F420)),0)))</f>
        <v>0</v>
      </c>
      <c r="H420" s="2" t="n">
        <f aca="false">IF(M420="No",0,IF(AND(L420="Si",M420="Si"),(I420-(E420+F420))/2,IF(M420="Si",(I420-(E420+F420)),0)))</f>
        <v>0</v>
      </c>
      <c r="M420" s="77" t="s">
        <v>74</v>
      </c>
      <c r="P420" s="1" t="n">
        <f aca="false">DAY(A420)</f>
        <v>30</v>
      </c>
    </row>
    <row r="421" customFormat="false" ht="15" hidden="false" customHeight="true" outlineLevel="0" collapsed="false">
      <c r="A421" s="83"/>
      <c r="G421" s="2" t="n">
        <f aca="false">IF(L421="No",0,IF(AND(L421="Si",M421="Si"),(I421-(E421+F421))/2,IF(L421="Si",(I421-(E421+F421)),0)))</f>
        <v>0</v>
      </c>
      <c r="H421" s="2" t="n">
        <f aca="false">IF(M421="No",0,IF(AND(L421="Si",M421="Si"),(I421-(E421+F421))/2,IF(M421="Si",(I421-(E421+F421)),0)))</f>
        <v>0</v>
      </c>
      <c r="M421" s="77" t="s">
        <v>74</v>
      </c>
      <c r="P421" s="1" t="n">
        <f aca="false">DAY(A421)</f>
        <v>30</v>
      </c>
    </row>
    <row r="422" customFormat="false" ht="15" hidden="false" customHeight="true" outlineLevel="0" collapsed="false">
      <c r="A422" s="83"/>
      <c r="G422" s="2" t="n">
        <f aca="false">IF(L422="No",0,IF(AND(L422="Si",M422="Si"),(I422-(E422+F422))/2,IF(L422="Si",(I422-(E422+F422)),0)))</f>
        <v>0</v>
      </c>
      <c r="H422" s="2" t="n">
        <f aca="false">IF(M422="No",0,IF(AND(L422="Si",M422="Si"),(I422-(E422+F422))/2,IF(M422="Si",(I422-(E422+F422)),0)))</f>
        <v>0</v>
      </c>
      <c r="M422" s="77" t="s">
        <v>74</v>
      </c>
      <c r="P422" s="1" t="n">
        <f aca="false">DAY(A422)</f>
        <v>30</v>
      </c>
    </row>
    <row r="423" customFormat="false" ht="15" hidden="false" customHeight="true" outlineLevel="0" collapsed="false">
      <c r="A423" s="83"/>
      <c r="G423" s="2" t="n">
        <f aca="false">IF(L423="No",0,IF(AND(L423="Si",M423="Si"),(I423-(E423+F423))/2,IF(L423="Si",(I423-(E423+F423)),0)))</f>
        <v>0</v>
      </c>
      <c r="H423" s="2" t="n">
        <f aca="false">IF(M423="No",0,IF(AND(L423="Si",M423="Si"),(I423-(E423+F423))/2,IF(M423="Si",(I423-(E423+F423)),0)))</f>
        <v>0</v>
      </c>
      <c r="M423" s="77" t="s">
        <v>74</v>
      </c>
      <c r="P423" s="1" t="n">
        <f aca="false">DAY(A423)</f>
        <v>30</v>
      </c>
    </row>
    <row r="424" customFormat="false" ht="15" hidden="false" customHeight="true" outlineLevel="0" collapsed="false">
      <c r="A424" s="83"/>
      <c r="G424" s="2" t="n">
        <f aca="false">IF(L424="No",0,IF(AND(L424="Si",M424="Si"),(I424-(E424+F424))/2,IF(L424="Si",(I424-(E424+F424)),0)))</f>
        <v>0</v>
      </c>
      <c r="H424" s="2" t="n">
        <f aca="false">IF(M424="No",0,IF(AND(L424="Si",M424="Si"),(I424-(E424+F424))/2,IF(M424="Si",(I424-(E424+F424)),0)))</f>
        <v>0</v>
      </c>
      <c r="M424" s="77" t="s">
        <v>74</v>
      </c>
      <c r="P424" s="1" t="n">
        <f aca="false">DAY(A424)</f>
        <v>30</v>
      </c>
    </row>
    <row r="425" customFormat="false" ht="15" hidden="false" customHeight="true" outlineLevel="0" collapsed="false">
      <c r="A425" s="83"/>
      <c r="G425" s="2" t="n">
        <f aca="false">IF(L425="No",0,IF(AND(L425="Si",M425="Si"),(I425-(E425+F425))/2,IF(L425="Si",(I425-(E425+F425)),0)))</f>
        <v>0</v>
      </c>
      <c r="H425" s="2" t="n">
        <f aca="false">IF(M425="No",0,IF(AND(L425="Si",M425="Si"),(I425-(E425+F425))/2,IF(M425="Si",(I425-(E425+F425)),0)))</f>
        <v>0</v>
      </c>
      <c r="M425" s="77" t="s">
        <v>74</v>
      </c>
      <c r="P425" s="1" t="n">
        <f aca="false">DAY(A425)</f>
        <v>30</v>
      </c>
    </row>
    <row r="426" customFormat="false" ht="15" hidden="false" customHeight="true" outlineLevel="0" collapsed="false">
      <c r="A426" s="83"/>
      <c r="G426" s="2" t="n">
        <f aca="false">IF(L426="No",0,IF(AND(L426="Si",M426="Si"),(I426-(E426+F426))/2,IF(L426="Si",(I426-(E426+F426)),0)))</f>
        <v>0</v>
      </c>
      <c r="H426" s="2" t="n">
        <f aca="false">IF(M426="No",0,IF(AND(L426="Si",M426="Si"),(I426-(E426+F426))/2,IF(M426="Si",(I426-(E426+F426)),0)))</f>
        <v>0</v>
      </c>
      <c r="M426" s="77" t="s">
        <v>74</v>
      </c>
      <c r="P426" s="1" t="n">
        <f aca="false">DAY(A426)</f>
        <v>30</v>
      </c>
    </row>
    <row r="427" customFormat="false" ht="15" hidden="false" customHeight="true" outlineLevel="0" collapsed="false">
      <c r="A427" s="83"/>
      <c r="G427" s="2" t="n">
        <f aca="false">IF(L427="No",0,IF(AND(L427="Si",M427="Si"),(I427-(E427+F427))/2,IF(L427="Si",(I427-(E427+F427)),0)))</f>
        <v>0</v>
      </c>
      <c r="H427" s="2" t="n">
        <f aca="false">IF(M427="No",0,IF(AND(L427="Si",M427="Si"),(I427-(E427+F427))/2,IF(M427="Si",(I427-(E427+F427)),0)))</f>
        <v>0</v>
      </c>
      <c r="M427" s="77" t="s">
        <v>74</v>
      </c>
      <c r="P427" s="1" t="n">
        <f aca="false">DAY(A427)</f>
        <v>30</v>
      </c>
    </row>
    <row r="428" customFormat="false" ht="15" hidden="false" customHeight="true" outlineLevel="0" collapsed="false">
      <c r="A428" s="83"/>
      <c r="G428" s="2" t="n">
        <f aca="false">IF(L428="No",0,IF(AND(L428="Si",M428="Si"),(I428-(E428+F428))/2,IF(L428="Si",(I428-(E428+F428)),0)))</f>
        <v>0</v>
      </c>
      <c r="H428" s="2" t="n">
        <f aca="false">IF(M428="No",0,IF(AND(L428="Si",M428="Si"),(I428-(E428+F428))/2,IF(M428="Si",(I428-(E428+F428)),0)))</f>
        <v>0</v>
      </c>
      <c r="M428" s="77" t="s">
        <v>74</v>
      </c>
      <c r="P428" s="1" t="n">
        <f aca="false">DAY(A428)</f>
        <v>30</v>
      </c>
    </row>
    <row r="429" customFormat="false" ht="15" hidden="false" customHeight="true" outlineLevel="0" collapsed="false">
      <c r="A429" s="83"/>
      <c r="G429" s="2" t="n">
        <f aca="false">IF(L429="No",0,IF(AND(L429="Si",M429="Si"),(I429-(E429+F429))/2,IF(L429="Si",(I429-(E429+F429)),0)))</f>
        <v>0</v>
      </c>
      <c r="H429" s="2" t="n">
        <f aca="false">IF(M429="No",0,IF(AND(L429="Si",M429="Si"),(I429-(E429+F429))/2,IF(M429="Si",(I429-(E429+F429)),0)))</f>
        <v>0</v>
      </c>
      <c r="M429" s="77" t="s">
        <v>74</v>
      </c>
      <c r="P429" s="1" t="n">
        <f aca="false">DAY(A429)</f>
        <v>30</v>
      </c>
    </row>
    <row r="430" customFormat="false" ht="15" hidden="false" customHeight="true" outlineLevel="0" collapsed="false">
      <c r="A430" s="83"/>
      <c r="G430" s="2" t="n">
        <f aca="false">IF(L430="No",0,IF(AND(L430="Si",M430="Si"),(I430-(E430+F430))/2,IF(L430="Si",(I430-(E430+F430)),0)))</f>
        <v>0</v>
      </c>
      <c r="H430" s="2" t="n">
        <f aca="false">IF(M430="No",0,IF(AND(L430="Si",M430="Si"),(I430-(E430+F430))/2,IF(M430="Si",(I430-(E430+F430)),0)))</f>
        <v>0</v>
      </c>
      <c r="M430" s="77" t="s">
        <v>74</v>
      </c>
      <c r="P430" s="1" t="n">
        <f aca="false">DAY(A430)</f>
        <v>30</v>
      </c>
    </row>
    <row r="431" customFormat="false" ht="15" hidden="false" customHeight="true" outlineLevel="0" collapsed="false">
      <c r="A431" s="83"/>
      <c r="G431" s="2" t="n">
        <f aca="false">IF(L431="No",0,IF(AND(L431="Si",M431="Si"),(I431-(E431+F431))/2,IF(L431="Si",(I431-(E431+F431)),0)))</f>
        <v>0</v>
      </c>
      <c r="H431" s="2" t="n">
        <f aca="false">IF(M431="No",0,IF(AND(L431="Si",M431="Si"),(I431-(E431+F431))/2,IF(M431="Si",(I431-(E431+F431)),0)))</f>
        <v>0</v>
      </c>
      <c r="M431" s="77" t="s">
        <v>74</v>
      </c>
      <c r="P431" s="1" t="n">
        <f aca="false">DAY(A431)</f>
        <v>30</v>
      </c>
    </row>
    <row r="432" customFormat="false" ht="15" hidden="false" customHeight="true" outlineLevel="0" collapsed="false">
      <c r="A432" s="83"/>
      <c r="G432" s="2" t="n">
        <f aca="false">IF(L432="No",0,IF(AND(L432="Si",M432="Si"),(I432-(E432+F432))/2,IF(L432="Si",(I432-(E432+F432)),0)))</f>
        <v>0</v>
      </c>
      <c r="H432" s="2" t="n">
        <f aca="false">IF(M432="No",0,IF(AND(L432="Si",M432="Si"),(I432-(E432+F432))/2,IF(M432="Si",(I432-(E432+F432)),0)))</f>
        <v>0</v>
      </c>
      <c r="M432" s="77" t="s">
        <v>74</v>
      </c>
      <c r="P432" s="1" t="n">
        <f aca="false">DAY(A432)</f>
        <v>30</v>
      </c>
    </row>
    <row r="433" customFormat="false" ht="15" hidden="false" customHeight="true" outlineLevel="0" collapsed="false">
      <c r="A433" s="83"/>
      <c r="G433" s="2" t="n">
        <f aca="false">IF(L433="No",0,IF(AND(L433="Si",M433="Si"),(I433-(E433+F433))/2,IF(L433="Si",(I433-(E433+F433)),0)))</f>
        <v>0</v>
      </c>
      <c r="H433" s="2" t="n">
        <f aca="false">IF(M433="No",0,IF(AND(L433="Si",M433="Si"),(I433-(E433+F433))/2,IF(M433="Si",(I433-(E433+F433)),0)))</f>
        <v>0</v>
      </c>
      <c r="M433" s="77" t="s">
        <v>74</v>
      </c>
      <c r="P433" s="1" t="n">
        <f aca="false">DAY(A433)</f>
        <v>30</v>
      </c>
    </row>
    <row r="434" customFormat="false" ht="15" hidden="false" customHeight="true" outlineLevel="0" collapsed="false">
      <c r="A434" s="83"/>
      <c r="G434" s="2" t="n">
        <f aca="false">IF(L434="No",0,IF(AND(L434="Si",M434="Si"),(I434-(E434+F434))/2,IF(L434="Si",(I434-(E434+F434)),0)))</f>
        <v>0</v>
      </c>
      <c r="H434" s="2" t="n">
        <f aca="false">IF(M434="No",0,IF(AND(L434="Si",M434="Si"),(I434-(E434+F434))/2,IF(M434="Si",(I434-(E434+F434)),0)))</f>
        <v>0</v>
      </c>
      <c r="M434" s="77" t="s">
        <v>74</v>
      </c>
      <c r="P434" s="1" t="n">
        <f aca="false">DAY(A434)</f>
        <v>30</v>
      </c>
    </row>
    <row r="435" customFormat="false" ht="15" hidden="false" customHeight="true" outlineLevel="0" collapsed="false">
      <c r="A435" s="83"/>
      <c r="G435" s="2" t="n">
        <f aca="false">IF(L435="No",0,IF(AND(L435="Si",M435="Si"),(I435-(E435+F435))/2,IF(L435="Si",(I435-(E435+F435)),0)))</f>
        <v>0</v>
      </c>
      <c r="H435" s="2" t="n">
        <f aca="false">IF(M435="No",0,IF(AND(L435="Si",M435="Si"),(I435-(E435+F435))/2,IF(M435="Si",(I435-(E435+F435)),0)))</f>
        <v>0</v>
      </c>
      <c r="M435" s="77" t="s">
        <v>74</v>
      </c>
      <c r="P435" s="1" t="n">
        <f aca="false">DAY(A435)</f>
        <v>30</v>
      </c>
    </row>
    <row r="436" customFormat="false" ht="15" hidden="false" customHeight="true" outlineLevel="0" collapsed="false">
      <c r="A436" s="83"/>
      <c r="G436" s="2" t="n">
        <f aca="false">IF(L436="No",0,IF(AND(L436="Si",M436="Si"),(I436-(E436+F436))/2,IF(L436="Si",(I436-(E436+F436)),0)))</f>
        <v>0</v>
      </c>
      <c r="H436" s="2" t="n">
        <f aca="false">IF(M436="No",0,IF(AND(L436="Si",M436="Si"),(I436-(E436+F436))/2,IF(M436="Si",(I436-(E436+F436)),0)))</f>
        <v>0</v>
      </c>
      <c r="M436" s="77" t="s">
        <v>74</v>
      </c>
      <c r="P436" s="1" t="n">
        <f aca="false">DAY(A436)</f>
        <v>30</v>
      </c>
    </row>
    <row r="437" customFormat="false" ht="15" hidden="false" customHeight="true" outlineLevel="0" collapsed="false">
      <c r="A437" s="83"/>
      <c r="G437" s="2" t="n">
        <f aca="false">IF(L437="No",0,IF(AND(L437="Si",M437="Si"),(I437-(E437+F437))/2,IF(L437="Si",(I437-(E437+F437)),0)))</f>
        <v>0</v>
      </c>
      <c r="H437" s="2" t="n">
        <f aca="false">IF(M437="No",0,IF(AND(L437="Si",M437="Si"),(I437-(E437+F437))/2,IF(M437="Si",(I437-(E437+F437)),0)))</f>
        <v>0</v>
      </c>
      <c r="M437" s="77" t="s">
        <v>74</v>
      </c>
      <c r="P437" s="1" t="n">
        <f aca="false">DAY(A437)</f>
        <v>30</v>
      </c>
    </row>
    <row r="438" customFormat="false" ht="15" hidden="false" customHeight="true" outlineLevel="0" collapsed="false">
      <c r="A438" s="83"/>
      <c r="G438" s="2" t="n">
        <f aca="false">IF(L438="No",0,IF(AND(L438="Si",M438="Si"),(I438-(E438+F438))/2,IF(L438="Si",(I438-(E438+F438)),0)))</f>
        <v>0</v>
      </c>
      <c r="H438" s="2" t="n">
        <f aca="false">IF(M438="No",0,IF(AND(L438="Si",M438="Si"),(I438-(E438+F438))/2,IF(M438="Si",(I438-(E438+F438)),0)))</f>
        <v>0</v>
      </c>
      <c r="M438" s="77" t="s">
        <v>74</v>
      </c>
      <c r="P438" s="1" t="n">
        <f aca="false">DAY(A438)</f>
        <v>30</v>
      </c>
    </row>
    <row r="439" customFormat="false" ht="15" hidden="false" customHeight="true" outlineLevel="0" collapsed="false">
      <c r="A439" s="83"/>
      <c r="G439" s="2" t="n">
        <f aca="false">IF(L439="No",0,IF(AND(L439="Si",M439="Si"),(I439-(E439+F439))/2,IF(L439="Si",(I439-(E439+F439)),0)))</f>
        <v>0</v>
      </c>
      <c r="H439" s="2" t="n">
        <f aca="false">IF(M439="No",0,IF(AND(L439="Si",M439="Si"),(I439-(E439+F439))/2,IF(M439="Si",(I439-(E439+F439)),0)))</f>
        <v>0</v>
      </c>
      <c r="M439" s="77" t="s">
        <v>74</v>
      </c>
      <c r="P439" s="1" t="n">
        <f aca="false">DAY(A439)</f>
        <v>30</v>
      </c>
    </row>
    <row r="440" customFormat="false" ht="15" hidden="false" customHeight="true" outlineLevel="0" collapsed="false">
      <c r="A440" s="83"/>
      <c r="G440" s="2" t="n">
        <f aca="false">IF(L440="No",0,IF(AND(L440="Si",M440="Si"),(I440-(E440+F440))/2,IF(L440="Si",(I440-(E440+F440)),0)))</f>
        <v>0</v>
      </c>
      <c r="H440" s="2" t="n">
        <f aca="false">IF(M440="No",0,IF(AND(L440="Si",M440="Si"),(I440-(E440+F440))/2,IF(M440="Si",(I440-(E440+F440)),0)))</f>
        <v>0</v>
      </c>
      <c r="M440" s="77" t="s">
        <v>74</v>
      </c>
      <c r="P440" s="1" t="n">
        <f aca="false">DAY(A440)</f>
        <v>30</v>
      </c>
    </row>
    <row r="441" customFormat="false" ht="15" hidden="false" customHeight="true" outlineLevel="0" collapsed="false">
      <c r="A441" s="83"/>
      <c r="G441" s="2" t="n">
        <f aca="false">IF(L441="No",0,IF(AND(L441="Si",M441="Si"),(I441-(E441+F441))/2,IF(L441="Si",(I441-(E441+F441)),0)))</f>
        <v>0</v>
      </c>
      <c r="H441" s="2" t="n">
        <f aca="false">IF(M441="No",0,IF(AND(L441="Si",M441="Si"),(I441-(E441+F441))/2,IF(M441="Si",(I441-(E441+F441)),0)))</f>
        <v>0</v>
      </c>
      <c r="M441" s="77" t="s">
        <v>74</v>
      </c>
      <c r="P441" s="1" t="n">
        <f aca="false">DAY(A441)</f>
        <v>30</v>
      </c>
    </row>
    <row r="442" customFormat="false" ht="15" hidden="false" customHeight="true" outlineLevel="0" collapsed="false">
      <c r="A442" s="83"/>
      <c r="G442" s="2" t="n">
        <f aca="false">IF(L442="No",0,IF(AND(L442="Si",M442="Si"),(I442-(E442+F442))/2,IF(L442="Si",(I442-(E442+F442)),0)))</f>
        <v>0</v>
      </c>
      <c r="H442" s="2" t="n">
        <f aca="false">IF(M442="No",0,IF(AND(L442="Si",M442="Si"),(I442-(E442+F442))/2,IF(M442="Si",(I442-(E442+F442)),0)))</f>
        <v>0</v>
      </c>
      <c r="M442" s="77" t="s">
        <v>74</v>
      </c>
      <c r="P442" s="1" t="n">
        <f aca="false">DAY(A442)</f>
        <v>30</v>
      </c>
    </row>
    <row r="443" customFormat="false" ht="15" hidden="false" customHeight="true" outlineLevel="0" collapsed="false">
      <c r="A443" s="83"/>
      <c r="G443" s="2" t="n">
        <f aca="false">IF(L443="No",0,IF(AND(L443="Si",M443="Si"),(I443-(E443+F443))/2,IF(L443="Si",(I443-(E443+F443)),0)))</f>
        <v>0</v>
      </c>
      <c r="H443" s="2" t="n">
        <f aca="false">IF(M443="No",0,IF(AND(L443="Si",M443="Si"),(I443-(E443+F443))/2,IF(M443="Si",(I443-(E443+F443)),0)))</f>
        <v>0</v>
      </c>
      <c r="M443" s="77" t="s">
        <v>74</v>
      </c>
      <c r="P443" s="1" t="n">
        <f aca="false">DAY(A443)</f>
        <v>30</v>
      </c>
    </row>
    <row r="444" customFormat="false" ht="15" hidden="false" customHeight="true" outlineLevel="0" collapsed="false">
      <c r="A444" s="83"/>
      <c r="G444" s="2" t="n">
        <f aca="false">IF(L444="No",0,IF(AND(L444="Si",M444="Si"),(I444-(E444+F444))/2,IF(L444="Si",(I444-(E444+F444)),0)))</f>
        <v>0</v>
      </c>
      <c r="H444" s="2" t="n">
        <f aca="false">IF(M444="No",0,IF(AND(L444="Si",M444="Si"),(I444-(E444+F444))/2,IF(M444="Si",(I444-(E444+F444)),0)))</f>
        <v>0</v>
      </c>
      <c r="M444" s="77" t="s">
        <v>74</v>
      </c>
      <c r="P444" s="1" t="n">
        <f aca="false">DAY(A444)</f>
        <v>30</v>
      </c>
    </row>
    <row r="445" customFormat="false" ht="15" hidden="false" customHeight="true" outlineLevel="0" collapsed="false">
      <c r="A445" s="83"/>
      <c r="G445" s="2" t="n">
        <f aca="false">IF(L445="No",0,IF(AND(L445="Si",M445="Si"),(I445-(E445+F445))/2,IF(L445="Si",(I445-(E445+F445)),0)))</f>
        <v>0</v>
      </c>
      <c r="H445" s="2" t="n">
        <f aca="false">IF(M445="No",0,IF(AND(L445="Si",M445="Si"),(I445-(E445+F445))/2,IF(M445="Si",(I445-(E445+F445)),0)))</f>
        <v>0</v>
      </c>
      <c r="M445" s="77" t="s">
        <v>74</v>
      </c>
      <c r="P445" s="1" t="n">
        <f aca="false">DAY(A445)</f>
        <v>30</v>
      </c>
    </row>
    <row r="446" customFormat="false" ht="15" hidden="false" customHeight="true" outlineLevel="0" collapsed="false">
      <c r="A446" s="83"/>
      <c r="G446" s="2" t="n">
        <f aca="false">IF(L446="No",0,IF(AND(L446="Si",M446="Si"),(I446-(E446+F446))/2,IF(L446="Si",(I446-(E446+F446)),0)))</f>
        <v>0</v>
      </c>
      <c r="H446" s="2" t="n">
        <f aca="false">IF(M446="No",0,IF(AND(L446="Si",M446="Si"),(I446-(E446+F446))/2,IF(M446="Si",(I446-(E446+F446)),0)))</f>
        <v>0</v>
      </c>
      <c r="M446" s="77" t="s">
        <v>74</v>
      </c>
      <c r="P446" s="1" t="n">
        <f aca="false">DAY(A446)</f>
        <v>30</v>
      </c>
    </row>
    <row r="447" customFormat="false" ht="15" hidden="false" customHeight="true" outlineLevel="0" collapsed="false">
      <c r="A447" s="83"/>
      <c r="G447" s="2" t="n">
        <f aca="false">IF(L447="No",0,IF(AND(L447="Si",M447="Si"),(I447-(E447+F447))/2,IF(L447="Si",(I447-(E447+F447)),0)))</f>
        <v>0</v>
      </c>
      <c r="H447" s="2" t="n">
        <f aca="false">IF(M447="No",0,IF(AND(L447="Si",M447="Si"),(I447-(E447+F447))/2,IF(M447="Si",(I447-(E447+F447)),0)))</f>
        <v>0</v>
      </c>
      <c r="M447" s="77" t="s">
        <v>74</v>
      </c>
      <c r="P447" s="1" t="n">
        <f aca="false">DAY(A447)</f>
        <v>30</v>
      </c>
    </row>
    <row r="448" customFormat="false" ht="15" hidden="false" customHeight="true" outlineLevel="0" collapsed="false">
      <c r="A448" s="83"/>
      <c r="G448" s="2" t="n">
        <f aca="false">IF(L448="No",0,IF(AND(L448="Si",M448="Si"),(I448-(E448+F448))/2,IF(L448="Si",(I448-(E448+F448)),0)))</f>
        <v>0</v>
      </c>
      <c r="H448" s="2" t="n">
        <f aca="false">IF(M448="No",0,IF(AND(L448="Si",M448="Si"),(I448-(E448+F448))/2,IF(M448="Si",(I448-(E448+F448)),0)))</f>
        <v>0</v>
      </c>
      <c r="M448" s="77" t="s">
        <v>74</v>
      </c>
      <c r="P448" s="1" t="n">
        <f aca="false">DAY(A448)</f>
        <v>30</v>
      </c>
    </row>
    <row r="449" customFormat="false" ht="15" hidden="false" customHeight="true" outlineLevel="0" collapsed="false">
      <c r="A449" s="83"/>
      <c r="G449" s="2" t="n">
        <f aca="false">IF(L449="No",0,IF(AND(L449="Si",M449="Si"),(I449-(E449+F449))/2,IF(L449="Si",(I449-(E449+F449)),0)))</f>
        <v>0</v>
      </c>
      <c r="H449" s="2" t="n">
        <f aca="false">IF(M449="No",0,IF(AND(L449="Si",M449="Si"),(I449-(E449+F449))/2,IF(M449="Si",(I449-(E449+F449)),0)))</f>
        <v>0</v>
      </c>
      <c r="M449" s="77" t="s">
        <v>74</v>
      </c>
      <c r="P449" s="1" t="n">
        <f aca="false">DAY(A449)</f>
        <v>30</v>
      </c>
    </row>
    <row r="450" customFormat="false" ht="15" hidden="false" customHeight="true" outlineLevel="0" collapsed="false">
      <c r="A450" s="83"/>
      <c r="G450" s="2" t="n">
        <f aca="false">IF(L450="No",0,IF(AND(L450="Si",M450="Si"),(I450-(E450+F450))/2,IF(L450="Si",(I450-(E450+F450)),0)))</f>
        <v>0</v>
      </c>
      <c r="H450" s="2" t="n">
        <f aca="false">IF(M450="No",0,IF(AND(L450="Si",M450="Si"),(I450-(E450+F450))/2,IF(M450="Si",(I450-(E450+F450)),0)))</f>
        <v>0</v>
      </c>
      <c r="M450" s="77" t="s">
        <v>74</v>
      </c>
      <c r="P450" s="1" t="n">
        <f aca="false">DAY(A450)</f>
        <v>30</v>
      </c>
    </row>
    <row r="451" customFormat="false" ht="15" hidden="false" customHeight="true" outlineLevel="0" collapsed="false">
      <c r="A451" s="83"/>
      <c r="G451" s="2" t="n">
        <f aca="false">IF(L451="No",0,IF(AND(L451="Si",M451="Si"),(I451-(E451+F451))/2,IF(L451="Si",(I451-(E451+F451)),0)))</f>
        <v>0</v>
      </c>
      <c r="H451" s="2" t="n">
        <f aca="false">IF(M451="No",0,IF(AND(L451="Si",M451="Si"),(I451-(E451+F451))/2,IF(M451="Si",(I451-(E451+F451)),0)))</f>
        <v>0</v>
      </c>
      <c r="M451" s="77" t="s">
        <v>74</v>
      </c>
      <c r="P451" s="1" t="n">
        <f aca="false">DAY(A451)</f>
        <v>30</v>
      </c>
    </row>
    <row r="452" customFormat="false" ht="15" hidden="false" customHeight="true" outlineLevel="0" collapsed="false">
      <c r="A452" s="83"/>
      <c r="G452" s="2" t="n">
        <f aca="false">IF(L452="No",0,IF(AND(L452="Si",M452="Si"),(I452-(E452+F452))/2,IF(L452="Si",(I452-(E452+F452)),0)))</f>
        <v>0</v>
      </c>
      <c r="H452" s="2" t="n">
        <f aca="false">IF(M452="No",0,IF(AND(L452="Si",M452="Si"),(I452-(E452+F452))/2,IF(M452="Si",(I452-(E452+F452)),0)))</f>
        <v>0</v>
      </c>
      <c r="M452" s="77" t="s">
        <v>74</v>
      </c>
      <c r="P452" s="1" t="n">
        <f aca="false">DAY(A452)</f>
        <v>30</v>
      </c>
    </row>
    <row r="453" customFormat="false" ht="15" hidden="false" customHeight="true" outlineLevel="0" collapsed="false">
      <c r="A453" s="83"/>
      <c r="G453" s="2" t="n">
        <f aca="false">IF(L453="No",0,IF(AND(L453="Si",M453="Si"),(I453-(E453+F453))/2,IF(L453="Si",(I453-(E453+F453)),0)))</f>
        <v>0</v>
      </c>
      <c r="H453" s="2" t="n">
        <f aca="false">IF(M453="No",0,IF(AND(L453="Si",M453="Si"),(I453-(E453+F453))/2,IF(M453="Si",(I453-(E453+F453)),0)))</f>
        <v>0</v>
      </c>
      <c r="M453" s="77" t="s">
        <v>74</v>
      </c>
      <c r="P453" s="1" t="n">
        <f aca="false">DAY(A453)</f>
        <v>30</v>
      </c>
    </row>
    <row r="454" customFormat="false" ht="15" hidden="false" customHeight="true" outlineLevel="0" collapsed="false">
      <c r="A454" s="83"/>
      <c r="G454" s="2" t="n">
        <f aca="false">IF(L454="No",0,IF(AND(L454="Si",M454="Si"),(I454-(E454+F454))/2,IF(L454="Si",(I454-(E454+F454)),0)))</f>
        <v>0</v>
      </c>
      <c r="H454" s="2" t="n">
        <f aca="false">IF(M454="No",0,IF(AND(L454="Si",M454="Si"),(I454-(E454+F454))/2,IF(M454="Si",(I454-(E454+F454)),0)))</f>
        <v>0</v>
      </c>
      <c r="M454" s="77" t="s">
        <v>74</v>
      </c>
      <c r="P454" s="1" t="n">
        <f aca="false">DAY(A454)</f>
        <v>30</v>
      </c>
    </row>
    <row r="455" customFormat="false" ht="15" hidden="false" customHeight="true" outlineLevel="0" collapsed="false">
      <c r="A455" s="83"/>
      <c r="G455" s="2" t="n">
        <f aca="false">IF(L455="No",0,IF(AND(L455="Si",M455="Si"),(I455-(E455+F455))/2,IF(L455="Si",(I455-(E455+F455)),0)))</f>
        <v>0</v>
      </c>
      <c r="H455" s="2" t="n">
        <f aca="false">IF(M455="No",0,IF(AND(L455="Si",M455="Si"),(I455-(E455+F455))/2,IF(M455="Si",(I455-(E455+F455)),0)))</f>
        <v>0</v>
      </c>
      <c r="M455" s="77" t="s">
        <v>74</v>
      </c>
      <c r="P455" s="1" t="n">
        <f aca="false">DAY(A455)</f>
        <v>30</v>
      </c>
    </row>
    <row r="456" customFormat="false" ht="15" hidden="false" customHeight="true" outlineLevel="0" collapsed="false">
      <c r="A456" s="83"/>
      <c r="G456" s="2" t="n">
        <f aca="false">IF(L456="No",0,IF(AND(L456="Si",M456="Si"),(I456-(E456+F456))/2,IF(L456="Si",(I456-(E456+F456)),0)))</f>
        <v>0</v>
      </c>
      <c r="H456" s="2" t="n">
        <f aca="false">IF(M456="No",0,IF(AND(L456="Si",M456="Si"),(I456-(E456+F456))/2,IF(M456="Si",(I456-(E456+F456)),0)))</f>
        <v>0</v>
      </c>
      <c r="M456" s="77" t="s">
        <v>74</v>
      </c>
      <c r="P456" s="1" t="n">
        <f aca="false">DAY(A456)</f>
        <v>30</v>
      </c>
    </row>
    <row r="457" customFormat="false" ht="15" hidden="false" customHeight="true" outlineLevel="0" collapsed="false">
      <c r="A457" s="83"/>
      <c r="G457" s="2" t="n">
        <f aca="false">IF(L457="No",0,IF(AND(L457="Si",M457="Si"),(I457-(E457+F457))/2,IF(L457="Si",(I457-(E457+F457)),0)))</f>
        <v>0</v>
      </c>
      <c r="H457" s="2" t="n">
        <f aca="false">IF(M457="No",0,IF(AND(L457="Si",M457="Si"),(I457-(E457+F457))/2,IF(M457="Si",(I457-(E457+F457)),0)))</f>
        <v>0</v>
      </c>
      <c r="M457" s="77" t="s">
        <v>74</v>
      </c>
      <c r="P457" s="1" t="n">
        <f aca="false">DAY(A457)</f>
        <v>30</v>
      </c>
    </row>
    <row r="458" customFormat="false" ht="15" hidden="false" customHeight="true" outlineLevel="0" collapsed="false">
      <c r="A458" s="83"/>
      <c r="G458" s="2" t="n">
        <f aca="false">IF(L458="No",0,IF(AND(L458="Si",M458="Si"),(I458-(E458+F458))/2,IF(L458="Si",(I458-(E458+F458)),0)))</f>
        <v>0</v>
      </c>
      <c r="H458" s="2" t="n">
        <f aca="false">IF(M458="No",0,IF(AND(L458="Si",M458="Si"),(I458-(E458+F458))/2,IF(M458="Si",(I458-(E458+F458)),0)))</f>
        <v>0</v>
      </c>
      <c r="M458" s="77" t="s">
        <v>74</v>
      </c>
      <c r="P458" s="1" t="n">
        <f aca="false">DAY(A458)</f>
        <v>30</v>
      </c>
    </row>
    <row r="459" customFormat="false" ht="15" hidden="false" customHeight="true" outlineLevel="0" collapsed="false">
      <c r="A459" s="83"/>
      <c r="G459" s="2" t="n">
        <f aca="false">IF(L459="No",0,IF(AND(L459="Si",M459="Si"),(I459-(E459+F459))/2,IF(L459="Si",(I459-(E459+F459)),0)))</f>
        <v>0</v>
      </c>
      <c r="H459" s="2" t="n">
        <f aca="false">IF(M459="No",0,IF(AND(L459="Si",M459="Si"),(I459-(E459+F459))/2,IF(M459="Si",(I459-(E459+F459)),0)))</f>
        <v>0</v>
      </c>
      <c r="M459" s="77" t="s">
        <v>74</v>
      </c>
      <c r="P459" s="1" t="n">
        <f aca="false">DAY(A459)</f>
        <v>30</v>
      </c>
    </row>
    <row r="460" customFormat="false" ht="15" hidden="false" customHeight="true" outlineLevel="0" collapsed="false">
      <c r="A460" s="83"/>
      <c r="G460" s="2" t="n">
        <f aca="false">IF(L460="No",0,IF(AND(L460="Si",M460="Si"),(I460-(E460+F460))/2,IF(L460="Si",(I460-(E460+F460)),0)))</f>
        <v>0</v>
      </c>
      <c r="H460" s="2" t="n">
        <f aca="false">IF(M460="No",0,IF(AND(L460="Si",M460="Si"),(I460-(E460+F460))/2,IF(M460="Si",(I460-(E460+F460)),0)))</f>
        <v>0</v>
      </c>
      <c r="M460" s="77" t="s">
        <v>74</v>
      </c>
      <c r="P460" s="1" t="n">
        <f aca="false">DAY(A460)</f>
        <v>30</v>
      </c>
    </row>
    <row r="461" customFormat="false" ht="15" hidden="false" customHeight="true" outlineLevel="0" collapsed="false">
      <c r="A461" s="83"/>
      <c r="G461" s="2" t="n">
        <f aca="false">IF(L461="No",0,IF(AND(L461="Si",M461="Si"),(I461-(E461+F461))/2,IF(L461="Si",(I461-(E461+F461)),0)))</f>
        <v>0</v>
      </c>
      <c r="H461" s="2" t="n">
        <f aca="false">IF(M461="No",0,IF(AND(L461="Si",M461="Si"),(I461-(E461+F461))/2,IF(M461="Si",(I461-(E461+F461)),0)))</f>
        <v>0</v>
      </c>
      <c r="M461" s="77" t="s">
        <v>74</v>
      </c>
      <c r="P461" s="1" t="n">
        <f aca="false">DAY(A461)</f>
        <v>30</v>
      </c>
    </row>
    <row r="462" customFormat="false" ht="15" hidden="false" customHeight="true" outlineLevel="0" collapsed="false">
      <c r="A462" s="83"/>
      <c r="G462" s="2" t="n">
        <f aca="false">IF(L462="No",0,IF(AND(L462="Si",M462="Si"),(I462-(E462+F462))/2,IF(L462="Si",(I462-(E462+F462)),0)))</f>
        <v>0</v>
      </c>
      <c r="H462" s="2" t="n">
        <f aca="false">IF(M462="No",0,IF(AND(L462="Si",M462="Si"),(I462-(E462+F462))/2,IF(M462="Si",(I462-(E462+F462)),0)))</f>
        <v>0</v>
      </c>
      <c r="M462" s="77" t="s">
        <v>74</v>
      </c>
      <c r="P462" s="1" t="n">
        <f aca="false">DAY(A462)</f>
        <v>30</v>
      </c>
    </row>
    <row r="463" customFormat="false" ht="15" hidden="false" customHeight="true" outlineLevel="0" collapsed="false">
      <c r="A463" s="83"/>
      <c r="G463" s="2" t="n">
        <f aca="false">IF(L463="No",0,IF(AND(L463="Si",M463="Si"),(I463-(E463+F463))/2,IF(L463="Si",(I463-(E463+F463)),0)))</f>
        <v>0</v>
      </c>
      <c r="H463" s="2" t="n">
        <f aca="false">IF(M463="No",0,IF(AND(L463="Si",M463="Si"),(I463-(E463+F463))/2,IF(M463="Si",(I463-(E463+F463)),0)))</f>
        <v>0</v>
      </c>
      <c r="M463" s="77" t="s">
        <v>74</v>
      </c>
      <c r="P463" s="1" t="n">
        <f aca="false">DAY(A463)</f>
        <v>30</v>
      </c>
    </row>
    <row r="464" customFormat="false" ht="15" hidden="false" customHeight="true" outlineLevel="0" collapsed="false">
      <c r="A464" s="83"/>
      <c r="G464" s="2" t="n">
        <f aca="false">IF(L464="No",0,IF(AND(L464="Si",M464="Si"),(I464-(E464+F464))/2,IF(L464="Si",(I464-(E464+F464)),0)))</f>
        <v>0</v>
      </c>
      <c r="H464" s="2" t="n">
        <f aca="false">IF(M464="No",0,IF(AND(L464="Si",M464="Si"),(I464-(E464+F464))/2,IF(M464="Si",(I464-(E464+F464)),0)))</f>
        <v>0</v>
      </c>
      <c r="M464" s="77" t="s">
        <v>74</v>
      </c>
      <c r="P464" s="1" t="n">
        <f aca="false">DAY(A464)</f>
        <v>30</v>
      </c>
    </row>
    <row r="465" customFormat="false" ht="15" hidden="false" customHeight="true" outlineLevel="0" collapsed="false">
      <c r="A465" s="83"/>
      <c r="G465" s="2" t="n">
        <f aca="false">IF(L465="No",0,IF(AND(L465="Si",M465="Si"),(I465-(E465+F465))/2,IF(L465="Si",(I465-(E465+F465)),0)))</f>
        <v>0</v>
      </c>
      <c r="H465" s="2" t="n">
        <f aca="false">IF(M465="No",0,IF(AND(L465="Si",M465="Si"),(I465-(E465+F465))/2,IF(M465="Si",(I465-(E465+F465)),0)))</f>
        <v>0</v>
      </c>
      <c r="M465" s="77" t="s">
        <v>74</v>
      </c>
      <c r="P465" s="1" t="n">
        <f aca="false">DAY(A465)</f>
        <v>30</v>
      </c>
    </row>
    <row r="466" customFormat="false" ht="15" hidden="false" customHeight="true" outlineLevel="0" collapsed="false">
      <c r="A466" s="83"/>
      <c r="G466" s="2" t="n">
        <f aca="false">IF(L466="No",0,IF(AND(L466="Si",M466="Si"),(I466-(E466+F466))/2,IF(L466="Si",(I466-(E466+F466)),0)))</f>
        <v>0</v>
      </c>
      <c r="H466" s="2" t="n">
        <f aca="false">IF(M466="No",0,IF(AND(L466="Si",M466="Si"),(I466-(E466+F466))/2,IF(M466="Si",(I466-(E466+F466)),0)))</f>
        <v>0</v>
      </c>
      <c r="M466" s="77" t="s">
        <v>74</v>
      </c>
      <c r="P466" s="1" t="n">
        <f aca="false">DAY(A466)</f>
        <v>30</v>
      </c>
    </row>
    <row r="467" customFormat="false" ht="15" hidden="false" customHeight="true" outlineLevel="0" collapsed="false">
      <c r="A467" s="83"/>
      <c r="G467" s="2" t="n">
        <f aca="false">IF(L467="No",0,IF(AND(L467="Si",M467="Si"),(I467-(E467+F467))/2,IF(L467="Si",(I467-(E467+F467)),0)))</f>
        <v>0</v>
      </c>
      <c r="H467" s="2" t="n">
        <f aca="false">IF(M467="No",0,IF(AND(L467="Si",M467="Si"),(I467-(E467+F467))/2,IF(M467="Si",(I467-(E467+F467)),0)))</f>
        <v>0</v>
      </c>
      <c r="M467" s="77" t="s">
        <v>74</v>
      </c>
      <c r="P467" s="1" t="n">
        <f aca="false">DAY(A467)</f>
        <v>30</v>
      </c>
    </row>
    <row r="468" customFormat="false" ht="15" hidden="false" customHeight="true" outlineLevel="0" collapsed="false">
      <c r="A468" s="83"/>
      <c r="G468" s="2" t="n">
        <f aca="false">IF(L468="No",0,IF(AND(L468="Si",M468="Si"),(I468-(E468+F468))/2,IF(L468="Si",(I468-(E468+F468)),0)))</f>
        <v>0</v>
      </c>
      <c r="H468" s="2" t="n">
        <f aca="false">IF(M468="No",0,IF(AND(L468="Si",M468="Si"),(I468-(E468+F468))/2,IF(M468="Si",(I468-(E468+F468)),0)))</f>
        <v>0</v>
      </c>
      <c r="M468" s="77" t="s">
        <v>74</v>
      </c>
      <c r="P468" s="1" t="n">
        <f aca="false">DAY(A468)</f>
        <v>30</v>
      </c>
    </row>
    <row r="469" customFormat="false" ht="15" hidden="false" customHeight="true" outlineLevel="0" collapsed="false">
      <c r="A469" s="83"/>
      <c r="G469" s="2" t="n">
        <f aca="false">IF(L469="No",0,IF(AND(L469="Si",M469="Si"),(I469-(E469+F469))/2,IF(L469="Si",(I469-(E469+F469)),0)))</f>
        <v>0</v>
      </c>
      <c r="H469" s="2" t="n">
        <f aca="false">IF(M469="No",0,IF(AND(L469="Si",M469="Si"),(I469-(E469+F469))/2,IF(M469="Si",(I469-(E469+F469)),0)))</f>
        <v>0</v>
      </c>
      <c r="M469" s="77" t="s">
        <v>74</v>
      </c>
      <c r="P469" s="1" t="n">
        <f aca="false">DAY(A469)</f>
        <v>30</v>
      </c>
    </row>
    <row r="470" customFormat="false" ht="15" hidden="false" customHeight="true" outlineLevel="0" collapsed="false">
      <c r="A470" s="83"/>
      <c r="G470" s="2" t="n">
        <f aca="false">IF(L470="No",0,IF(AND(L470="Si",M470="Si"),(I470-(E470+F470))/2,IF(L470="Si",(I470-(E470+F470)),0)))</f>
        <v>0</v>
      </c>
      <c r="H470" s="2" t="n">
        <f aca="false">IF(M470="No",0,IF(AND(L470="Si",M470="Si"),(I470-(E470+F470))/2,IF(M470="Si",(I470-(E470+F470)),0)))</f>
        <v>0</v>
      </c>
      <c r="M470" s="77" t="s">
        <v>74</v>
      </c>
      <c r="P470" s="1" t="n">
        <f aca="false">DAY(A470)</f>
        <v>30</v>
      </c>
    </row>
    <row r="471" customFormat="false" ht="15" hidden="false" customHeight="true" outlineLevel="0" collapsed="false">
      <c r="A471" s="83"/>
      <c r="G471" s="2" t="n">
        <f aca="false">IF(L471="No",0,IF(AND(L471="Si",M471="Si"),(I471-(E471+F471))/2,IF(L471="Si",(I471-(E471+F471)),0)))</f>
        <v>0</v>
      </c>
      <c r="H471" s="2" t="n">
        <f aca="false">IF(M471="No",0,IF(AND(L471="Si",M471="Si"),(I471-(E471+F471))/2,IF(M471="Si",(I471-(E471+F471)),0)))</f>
        <v>0</v>
      </c>
      <c r="M471" s="77" t="s">
        <v>74</v>
      </c>
      <c r="P471" s="1" t="n">
        <f aca="false">DAY(A471)</f>
        <v>30</v>
      </c>
    </row>
    <row r="472" customFormat="false" ht="15" hidden="false" customHeight="true" outlineLevel="0" collapsed="false">
      <c r="A472" s="83"/>
      <c r="G472" s="2" t="n">
        <f aca="false">IF(L472="No",0,IF(AND(L472="Si",M472="Si"),(I472-(E472+F472))/2,IF(L472="Si",(I472-(E472+F472)),0)))</f>
        <v>0</v>
      </c>
      <c r="H472" s="2" t="n">
        <f aca="false">IF(M472="No",0,IF(AND(L472="Si",M472="Si"),(I472-(E472+F472))/2,IF(M472="Si",(I472-(E472+F472)),0)))</f>
        <v>0</v>
      </c>
      <c r="M472" s="77" t="s">
        <v>74</v>
      </c>
      <c r="P472" s="1" t="n">
        <f aca="false">DAY(A472)</f>
        <v>30</v>
      </c>
    </row>
    <row r="473" customFormat="false" ht="15" hidden="false" customHeight="true" outlineLevel="0" collapsed="false">
      <c r="A473" s="83"/>
      <c r="G473" s="2" t="n">
        <f aca="false">IF(L473="No",0,IF(AND(L473="Si",M473="Si"),(I473-(E473+F473))/2,IF(L473="Si",(I473-(E473+F473)),0)))</f>
        <v>0</v>
      </c>
      <c r="H473" s="2" t="n">
        <f aca="false">IF(M473="No",0,IF(AND(L473="Si",M473="Si"),(I473-(E473+F473))/2,IF(M473="Si",(I473-(E473+F473)),0)))</f>
        <v>0</v>
      </c>
      <c r="M473" s="77" t="s">
        <v>74</v>
      </c>
      <c r="P473" s="1" t="n">
        <f aca="false">DAY(A473)</f>
        <v>30</v>
      </c>
    </row>
    <row r="474" customFormat="false" ht="15" hidden="false" customHeight="true" outlineLevel="0" collapsed="false">
      <c r="A474" s="83"/>
      <c r="G474" s="2" t="n">
        <f aca="false">IF(L474="No",0,IF(AND(L474="Si",M474="Si"),(I474-(E474+F474))/2,IF(L474="Si",(I474-(E474+F474)),0)))</f>
        <v>0</v>
      </c>
      <c r="H474" s="2" t="n">
        <f aca="false">IF(M474="No",0,IF(AND(L474="Si",M474="Si"),(I474-(E474+F474))/2,IF(M474="Si",(I474-(E474+F474)),0)))</f>
        <v>0</v>
      </c>
      <c r="M474" s="77" t="s">
        <v>74</v>
      </c>
      <c r="P474" s="1" t="n">
        <f aca="false">DAY(A474)</f>
        <v>30</v>
      </c>
    </row>
    <row r="475" customFormat="false" ht="15" hidden="false" customHeight="true" outlineLevel="0" collapsed="false">
      <c r="A475" s="83"/>
      <c r="G475" s="2" t="n">
        <f aca="false">IF(L475="No",0,IF(AND(L475="Si",M475="Si"),(I475-(E475+F475))/2,IF(L475="Si",(I475-(E475+F475)),0)))</f>
        <v>0</v>
      </c>
      <c r="H475" s="2" t="n">
        <f aca="false">IF(M475="No",0,IF(AND(L475="Si",M475="Si"),(I475-(E475+F475))/2,IF(M475="Si",(I475-(E475+F475)),0)))</f>
        <v>0</v>
      </c>
      <c r="M475" s="77" t="s">
        <v>74</v>
      </c>
      <c r="P475" s="1" t="n">
        <f aca="false">DAY(A475)</f>
        <v>30</v>
      </c>
    </row>
    <row r="476" customFormat="false" ht="15" hidden="false" customHeight="true" outlineLevel="0" collapsed="false">
      <c r="A476" s="83"/>
      <c r="G476" s="2" t="n">
        <f aca="false">IF(L476="No",0,IF(AND(L476="Si",M476="Si"),(I476-(E476+F476))/2,IF(L476="Si",(I476-(E476+F476)),0)))</f>
        <v>0</v>
      </c>
      <c r="H476" s="2" t="n">
        <f aca="false">IF(M476="No",0,IF(AND(L476="Si",M476="Si"),(I476-(E476+F476))/2,IF(M476="Si",(I476-(E476+F476)),0)))</f>
        <v>0</v>
      </c>
      <c r="M476" s="77" t="s">
        <v>74</v>
      </c>
      <c r="P476" s="1" t="n">
        <f aca="false">DAY(A476)</f>
        <v>30</v>
      </c>
    </row>
    <row r="477" customFormat="false" ht="15" hidden="false" customHeight="true" outlineLevel="0" collapsed="false">
      <c r="A477" s="83"/>
      <c r="G477" s="2" t="n">
        <f aca="false">IF(L477="No",0,IF(AND(L477="Si",M477="Si"),(I477-(E477+F477))/2,IF(L477="Si",(I477-(E477+F477)),0)))</f>
        <v>0</v>
      </c>
      <c r="H477" s="2" t="n">
        <f aca="false">IF(M477="No",0,IF(AND(L477="Si",M477="Si"),(I477-(E477+F477))/2,IF(M477="Si",(I477-(E477+F477)),0)))</f>
        <v>0</v>
      </c>
      <c r="M477" s="77" t="s">
        <v>74</v>
      </c>
      <c r="P477" s="1" t="n">
        <f aca="false">DAY(A477)</f>
        <v>30</v>
      </c>
    </row>
    <row r="478" customFormat="false" ht="15" hidden="false" customHeight="true" outlineLevel="0" collapsed="false">
      <c r="A478" s="83"/>
      <c r="G478" s="2" t="n">
        <f aca="false">IF(L478="No",0,IF(AND(L478="Si",M478="Si"),(I478-(E478+F478))/2,IF(L478="Si",(I478-(E478+F478)),0)))</f>
        <v>0</v>
      </c>
      <c r="H478" s="2" t="n">
        <f aca="false">IF(M478="No",0,IF(AND(L478="Si",M478="Si"),(I478-(E478+F478))/2,IF(M478="Si",(I478-(E478+F478)),0)))</f>
        <v>0</v>
      </c>
      <c r="M478" s="77" t="s">
        <v>74</v>
      </c>
      <c r="P478" s="1" t="n">
        <f aca="false">DAY(A478)</f>
        <v>30</v>
      </c>
    </row>
    <row r="479" customFormat="false" ht="15" hidden="false" customHeight="true" outlineLevel="0" collapsed="false">
      <c r="A479" s="83"/>
      <c r="G479" s="2" t="n">
        <f aca="false">IF(L479="No",0,IF(AND(L479="Si",M479="Si"),(I479-(E479+F479))/2,IF(L479="Si",(I479-(E479+F479)),0)))</f>
        <v>0</v>
      </c>
      <c r="H479" s="2" t="n">
        <f aca="false">IF(M479="No",0,IF(AND(L479="Si",M479="Si"),(I479-(E479+F479))/2,IF(M479="Si",(I479-(E479+F479)),0)))</f>
        <v>0</v>
      </c>
      <c r="M479" s="77" t="s">
        <v>74</v>
      </c>
      <c r="P479" s="1" t="n">
        <f aca="false">DAY(A479)</f>
        <v>30</v>
      </c>
    </row>
    <row r="480" customFormat="false" ht="15" hidden="false" customHeight="true" outlineLevel="0" collapsed="false">
      <c r="A480" s="83"/>
      <c r="G480" s="2" t="n">
        <f aca="false">IF(L480="No",0,IF(AND(L480="Si",M480="Si"),(I480-(E480+F480))/2,IF(L480="Si",(I480-(E480+F480)),0)))</f>
        <v>0</v>
      </c>
      <c r="H480" s="2" t="n">
        <f aca="false">IF(M480="No",0,IF(AND(L480="Si",M480="Si"),(I480-(E480+F480))/2,IF(M480="Si",(I480-(E480+F480)),0)))</f>
        <v>0</v>
      </c>
      <c r="M480" s="77" t="s">
        <v>74</v>
      </c>
      <c r="P480" s="1" t="n">
        <f aca="false">DAY(A480)</f>
        <v>30</v>
      </c>
    </row>
    <row r="481" customFormat="false" ht="15" hidden="false" customHeight="true" outlineLevel="0" collapsed="false">
      <c r="A481" s="83"/>
      <c r="G481" s="2" t="n">
        <f aca="false">IF(L481="No",0,IF(AND(L481="Si",M481="Si"),(I481-(E481+F481))/2,IF(L481="Si",(I481-(E481+F481)),0)))</f>
        <v>0</v>
      </c>
      <c r="H481" s="2" t="n">
        <f aca="false">IF(M481="No",0,IF(AND(L481="Si",M481="Si"),(I481-(E481+F481))/2,IF(M481="Si",(I481-(E481+F481)),0)))</f>
        <v>0</v>
      </c>
      <c r="M481" s="77" t="s">
        <v>74</v>
      </c>
      <c r="P481" s="1" t="n">
        <f aca="false">DAY(A481)</f>
        <v>30</v>
      </c>
    </row>
    <row r="482" customFormat="false" ht="15" hidden="false" customHeight="true" outlineLevel="0" collapsed="false">
      <c r="A482" s="83"/>
      <c r="G482" s="2" t="n">
        <f aca="false">IF(L482="No",0,IF(AND(L482="Si",M482="Si"),(I482-(E482+F482))/2,IF(L482="Si",(I482-(E482+F482)),0)))</f>
        <v>0</v>
      </c>
      <c r="H482" s="2" t="n">
        <f aca="false">IF(M482="No",0,IF(AND(L482="Si",M482="Si"),(I482-(E482+F482))/2,IF(M482="Si",(I482-(E482+F482)),0)))</f>
        <v>0</v>
      </c>
      <c r="M482" s="77" t="s">
        <v>74</v>
      </c>
      <c r="P482" s="1" t="n">
        <f aca="false">DAY(A482)</f>
        <v>30</v>
      </c>
    </row>
    <row r="483" customFormat="false" ht="15" hidden="false" customHeight="true" outlineLevel="0" collapsed="false">
      <c r="A483" s="83"/>
      <c r="G483" s="2" t="n">
        <f aca="false">IF(L483="No",0,IF(AND(L483="Si",M483="Si"),(I483-(E483+F483))/2,IF(L483="Si",(I483-(E483+F483)),0)))</f>
        <v>0</v>
      </c>
      <c r="H483" s="2" t="n">
        <f aca="false">IF(M483="No",0,IF(AND(L483="Si",M483="Si"),(I483-(E483+F483))/2,IF(M483="Si",(I483-(E483+F483)),0)))</f>
        <v>0</v>
      </c>
      <c r="M483" s="77" t="s">
        <v>74</v>
      </c>
      <c r="P483" s="1" t="n">
        <f aca="false">DAY(A483)</f>
        <v>30</v>
      </c>
    </row>
    <row r="484" customFormat="false" ht="15" hidden="false" customHeight="true" outlineLevel="0" collapsed="false">
      <c r="A484" s="83"/>
      <c r="G484" s="2" t="n">
        <f aca="false">IF(L484="No",0,IF(AND(L484="Si",M484="Si"),(I484-(E484+F484))/2,IF(L484="Si",(I484-(E484+F484)),0)))</f>
        <v>0</v>
      </c>
      <c r="H484" s="2" t="n">
        <f aca="false">IF(M484="No",0,IF(AND(L484="Si",M484="Si"),(I484-(E484+F484))/2,IF(M484="Si",(I484-(E484+F484)),0)))</f>
        <v>0</v>
      </c>
      <c r="M484" s="77" t="s">
        <v>74</v>
      </c>
      <c r="P484" s="1" t="n">
        <f aca="false">DAY(A484)</f>
        <v>30</v>
      </c>
    </row>
    <row r="485" customFormat="false" ht="15" hidden="false" customHeight="true" outlineLevel="0" collapsed="false">
      <c r="A485" s="83"/>
      <c r="G485" s="2" t="n">
        <f aca="false">IF(L485="No",0,IF(AND(L485="Si",M485="Si"),(I485-(E485+F485))/2,IF(L485="Si",(I485-(E485+F485)),0)))</f>
        <v>0</v>
      </c>
      <c r="H485" s="2" t="n">
        <f aca="false">IF(M485="No",0,IF(AND(L485="Si",M485="Si"),(I485-(E485+F485))/2,IF(M485="Si",(I485-(E485+F485)),0)))</f>
        <v>0</v>
      </c>
      <c r="M485" s="77" t="s">
        <v>74</v>
      </c>
      <c r="P485" s="1" t="n">
        <f aca="false">DAY(A485)</f>
        <v>30</v>
      </c>
    </row>
    <row r="486" customFormat="false" ht="15" hidden="false" customHeight="true" outlineLevel="0" collapsed="false">
      <c r="A486" s="83"/>
      <c r="G486" s="2" t="n">
        <f aca="false">IF(L486="No",0,IF(AND(L486="Si",M486="Si"),(I486-(E486+F486))/2,IF(L486="Si",(I486-(E486+F486)),0)))</f>
        <v>0</v>
      </c>
      <c r="H486" s="2" t="n">
        <f aca="false">IF(M486="No",0,IF(AND(L486="Si",M486="Si"),(I486-(E486+F486))/2,IF(M486="Si",(I486-(E486+F486)),0)))</f>
        <v>0</v>
      </c>
      <c r="M486" s="77" t="s">
        <v>74</v>
      </c>
      <c r="P486" s="1" t="n">
        <f aca="false">DAY(A486)</f>
        <v>30</v>
      </c>
    </row>
    <row r="487" customFormat="false" ht="15" hidden="false" customHeight="true" outlineLevel="0" collapsed="false">
      <c r="A487" s="83"/>
      <c r="G487" s="2" t="n">
        <f aca="false">IF(L487="No",0,IF(AND(L487="Si",M487="Si"),(I487-(E487+F487))/2,IF(L487="Si",(I487-(E487+F487)),0)))</f>
        <v>0</v>
      </c>
      <c r="H487" s="2" t="n">
        <f aca="false">IF(M487="No",0,IF(AND(L487="Si",M487="Si"),(I487-(E487+F487))/2,IF(M487="Si",(I487-(E487+F487)),0)))</f>
        <v>0</v>
      </c>
      <c r="M487" s="77" t="s">
        <v>74</v>
      </c>
      <c r="P487" s="1" t="n">
        <f aca="false">DAY(A487)</f>
        <v>30</v>
      </c>
    </row>
    <row r="488" customFormat="false" ht="15" hidden="false" customHeight="true" outlineLevel="0" collapsed="false">
      <c r="A488" s="83"/>
      <c r="G488" s="2" t="n">
        <f aca="false">IF(L488="No",0,IF(AND(L488="Si",M488="Si"),(I488-(E488+F488))/2,IF(L488="Si",(I488-(E488+F488)),0)))</f>
        <v>0</v>
      </c>
      <c r="H488" s="2" t="n">
        <f aca="false">IF(M488="No",0,IF(AND(L488="Si",M488="Si"),(I488-(E488+F488))/2,IF(M488="Si",(I488-(E488+F488)),0)))</f>
        <v>0</v>
      </c>
      <c r="M488" s="77" t="s">
        <v>74</v>
      </c>
      <c r="P488" s="1" t="n">
        <f aca="false">DAY(A488)</f>
        <v>30</v>
      </c>
    </row>
    <row r="489" customFormat="false" ht="15" hidden="false" customHeight="true" outlineLevel="0" collapsed="false">
      <c r="A489" s="83"/>
      <c r="G489" s="2" t="n">
        <f aca="false">IF(L489="No",0,IF(AND(L489="Si",M489="Si"),(I489-(E489+F489))/2,IF(L489="Si",(I489-(E489+F489)),0)))</f>
        <v>0</v>
      </c>
      <c r="H489" s="2" t="n">
        <f aca="false">IF(M489="No",0,IF(AND(L489="Si",M489="Si"),(I489-(E489+F489))/2,IF(M489="Si",(I489-(E489+F489)),0)))</f>
        <v>0</v>
      </c>
      <c r="M489" s="77" t="s">
        <v>74</v>
      </c>
      <c r="P489" s="1" t="n">
        <f aca="false">DAY(A489)</f>
        <v>30</v>
      </c>
    </row>
    <row r="490" customFormat="false" ht="15" hidden="false" customHeight="true" outlineLevel="0" collapsed="false">
      <c r="A490" s="83"/>
      <c r="G490" s="2" t="n">
        <f aca="false">IF(L490="No",0,IF(AND(L490="Si",M490="Si"),(I490-(E490+F490))/2,IF(L490="Si",(I490-(E490+F490)),0)))</f>
        <v>0</v>
      </c>
      <c r="H490" s="2" t="n">
        <f aca="false">IF(M490="No",0,IF(AND(L490="Si",M490="Si"),(I490-(E490+F490))/2,IF(M490="Si",(I490-(E490+F490)),0)))</f>
        <v>0</v>
      </c>
      <c r="M490" s="77" t="s">
        <v>74</v>
      </c>
      <c r="P490" s="1" t="n">
        <f aca="false">DAY(A490)</f>
        <v>30</v>
      </c>
    </row>
    <row r="491" customFormat="false" ht="15" hidden="false" customHeight="true" outlineLevel="0" collapsed="false">
      <c r="A491" s="83"/>
      <c r="G491" s="2" t="n">
        <f aca="false">IF(L491="No",0,IF(AND(L491="Si",M491="Si"),(I491-(E491+F491))/2,IF(L491="Si",(I491-(E491+F491)),0)))</f>
        <v>0</v>
      </c>
      <c r="H491" s="2" t="n">
        <f aca="false">IF(M491="No",0,IF(AND(L491="Si",M491="Si"),(I491-(E491+F491))/2,IF(M491="Si",(I491-(E491+F491)),0)))</f>
        <v>0</v>
      </c>
      <c r="M491" s="77" t="s">
        <v>74</v>
      </c>
      <c r="P491" s="1" t="n">
        <f aca="false">DAY(A491)</f>
        <v>30</v>
      </c>
    </row>
    <row r="492" customFormat="false" ht="15" hidden="false" customHeight="true" outlineLevel="0" collapsed="false">
      <c r="A492" s="83"/>
      <c r="G492" s="2" t="n">
        <f aca="false">IF(L492="No",0,IF(AND(L492="Si",M492="Si"),(I492-(E492+F492))/2,IF(L492="Si",(I492-(E492+F492)),0)))</f>
        <v>0</v>
      </c>
      <c r="H492" s="2" t="n">
        <f aca="false">IF(M492="No",0,IF(AND(L492="Si",M492="Si"),(I492-(E492+F492))/2,IF(M492="Si",(I492-(E492+F492)),0)))</f>
        <v>0</v>
      </c>
      <c r="M492" s="77" t="s">
        <v>74</v>
      </c>
      <c r="P492" s="1" t="n">
        <f aca="false">DAY(A492)</f>
        <v>30</v>
      </c>
    </row>
    <row r="493" customFormat="false" ht="15" hidden="false" customHeight="true" outlineLevel="0" collapsed="false">
      <c r="A493" s="83"/>
      <c r="G493" s="2" t="n">
        <f aca="false">IF(L493="No",0,IF(AND(L493="Si",M493="Si"),(I493-(E493+F493))/2,IF(L493="Si",(I493-(E493+F493)),0)))</f>
        <v>0</v>
      </c>
      <c r="H493" s="2" t="n">
        <f aca="false">IF(M493="No",0,IF(AND(L493="Si",M493="Si"),(I493-(E493+F493))/2,IF(M493="Si",(I493-(E493+F493)),0)))</f>
        <v>0</v>
      </c>
      <c r="M493" s="77" t="s">
        <v>74</v>
      </c>
      <c r="P493" s="1" t="n">
        <f aca="false">DAY(A493)</f>
        <v>30</v>
      </c>
    </row>
    <row r="494" customFormat="false" ht="15" hidden="false" customHeight="true" outlineLevel="0" collapsed="false">
      <c r="A494" s="83"/>
      <c r="G494" s="2" t="n">
        <f aca="false">IF(L494="No",0,IF(AND(L494="Si",M494="Si"),(I494-(E494+F494))/2,IF(L494="Si",(I494-(E494+F494)),0)))</f>
        <v>0</v>
      </c>
      <c r="H494" s="2" t="n">
        <f aca="false">IF(M494="No",0,IF(AND(L494="Si",M494="Si"),(I494-(E494+F494))/2,IF(M494="Si",(I494-(E494+F494)),0)))</f>
        <v>0</v>
      </c>
      <c r="M494" s="77" t="s">
        <v>74</v>
      </c>
      <c r="P494" s="1" t="n">
        <f aca="false">DAY(A494)</f>
        <v>30</v>
      </c>
    </row>
    <row r="495" customFormat="false" ht="15" hidden="false" customHeight="true" outlineLevel="0" collapsed="false">
      <c r="A495" s="83"/>
      <c r="G495" s="2" t="n">
        <f aca="false">IF(L495="No",0,IF(AND(L495="Si",M495="Si"),(I495-(E495+F495))/2,IF(L495="Si",(I495-(E495+F495)),0)))</f>
        <v>0</v>
      </c>
      <c r="H495" s="2" t="n">
        <f aca="false">IF(M495="No",0,IF(AND(L495="Si",M495="Si"),(I495-(E495+F495))/2,IF(M495="Si",(I495-(E495+F495)),0)))</f>
        <v>0</v>
      </c>
      <c r="M495" s="77" t="s">
        <v>74</v>
      </c>
      <c r="P495" s="1" t="n">
        <f aca="false">DAY(A495)</f>
        <v>30</v>
      </c>
    </row>
    <row r="496" customFormat="false" ht="15" hidden="false" customHeight="true" outlineLevel="0" collapsed="false">
      <c r="A496" s="83"/>
      <c r="G496" s="2" t="n">
        <f aca="false">IF(L496="No",0,IF(AND(L496="Si",M496="Si"),(I496-(E496+F496))/2,IF(L496="Si",(I496-(E496+F496)),0)))</f>
        <v>0</v>
      </c>
      <c r="H496" s="2" t="n">
        <f aca="false">IF(M496="No",0,IF(AND(L496="Si",M496="Si"),(I496-(E496+F496))/2,IF(M496="Si",(I496-(E496+F496)),0)))</f>
        <v>0</v>
      </c>
      <c r="M496" s="77" t="s">
        <v>74</v>
      </c>
      <c r="P496" s="1" t="n">
        <f aca="false">DAY(A496)</f>
        <v>30</v>
      </c>
    </row>
    <row r="497" customFormat="false" ht="15" hidden="false" customHeight="true" outlineLevel="0" collapsed="false">
      <c r="A497" s="83"/>
      <c r="G497" s="2" t="n">
        <f aca="false">IF(L497="No",0,IF(AND(L497="Si",M497="Si"),(I497-(E497+F497))/2,IF(L497="Si",(I497-(E497+F497)),0)))</f>
        <v>0</v>
      </c>
      <c r="H497" s="2" t="n">
        <f aca="false">IF(M497="No",0,IF(AND(L497="Si",M497="Si"),(I497-(E497+F497))/2,IF(M497="Si",(I497-(E497+F497)),0)))</f>
        <v>0</v>
      </c>
      <c r="M497" s="77" t="s">
        <v>74</v>
      </c>
      <c r="P497" s="1" t="n">
        <f aca="false">DAY(A497)</f>
        <v>30</v>
      </c>
    </row>
    <row r="498" customFormat="false" ht="15" hidden="false" customHeight="true" outlineLevel="0" collapsed="false">
      <c r="A498" s="83"/>
      <c r="G498" s="2" t="n">
        <f aca="false">IF(L498="No",0,IF(AND(L498="Si",M498="Si"),(I498-(E498+F498))/2,IF(L498="Si",(I498-(E498+F498)),0)))</f>
        <v>0</v>
      </c>
      <c r="H498" s="2" t="n">
        <f aca="false">IF(M498="No",0,IF(AND(L498="Si",M498="Si"),(I498-(E498+F498))/2,IF(M498="Si",(I498-(E498+F498)),0)))</f>
        <v>0</v>
      </c>
      <c r="M498" s="77" t="s">
        <v>74</v>
      </c>
      <c r="P498" s="1" t="n">
        <f aca="false">DAY(A498)</f>
        <v>30</v>
      </c>
    </row>
    <row r="499" customFormat="false" ht="13.5" hidden="false" customHeight="true" outlineLevel="0" collapsed="false">
      <c r="A499" s="83"/>
      <c r="G499" s="2" t="n">
        <f aca="false">IF(L499="No",0,IF(AND(L499="Si",M499="Si"),(I499-(E499+F499))/2,IF(L499="Si",(I499-(E499+F499)),0)))</f>
        <v>0</v>
      </c>
      <c r="H499" s="2" t="n">
        <f aca="false">IF(M499="No",0,IF(AND(L499="Si",M499="Si"),(I499-(E499+F499))/2,IF(M499="Si",(I499-(E499+F499)),0)))</f>
        <v>0</v>
      </c>
      <c r="M499" s="77" t="s">
        <v>74</v>
      </c>
      <c r="P499" s="1" t="n">
        <f aca="false">DAY(A499)</f>
        <v>30</v>
      </c>
    </row>
    <row r="500" customFormat="false" ht="13.5" hidden="false" customHeight="true" outlineLevel="0" collapsed="false">
      <c r="A500" s="83"/>
      <c r="G500" s="2" t="n">
        <f aca="false">IF(L500="No",0,IF(AND(L500="Si",M500="Si"),(I500-(E500+F500))/2,IF(L500="Si",(I500-(E500+F500)),0)))</f>
        <v>0</v>
      </c>
      <c r="H500" s="2" t="n">
        <f aca="false">IF(M500="No",0,IF(AND(L500="Si",M500="Si"),(I500-(E500+F500))/2,IF(M500="Si",(I500-(E500+F500)),0)))</f>
        <v>0</v>
      </c>
      <c r="M500" s="77" t="s">
        <v>74</v>
      </c>
      <c r="P500" s="1" t="n">
        <f aca="false">DAY(A500)</f>
        <v>30</v>
      </c>
    </row>
    <row r="501" customFormat="false" ht="13.5" hidden="false" customHeight="true" outlineLevel="0" collapsed="false">
      <c r="A501" s="83"/>
      <c r="G501" s="2" t="n">
        <f aca="false">IF(L501="No",0,IF(AND(L501="Si",M501="Si"),(I501-(E501+F501))/2,IF(L501="Si",(I501-(E501+F501)),0)))</f>
        <v>0</v>
      </c>
      <c r="H501" s="2" t="n">
        <f aca="false">IF(M501="No",0,IF(AND(L501="Si",M501="Si"),(I501-(E501+F501))/2,IF(M501="Si",(I501-(E501+F501)),0)))</f>
        <v>0</v>
      </c>
      <c r="M501" s="77" t="s">
        <v>74</v>
      </c>
    </row>
    <row r="502" customFormat="false" ht="13.5" hidden="false" customHeight="true" outlineLevel="0" collapsed="false">
      <c r="A502" s="83"/>
      <c r="G502" s="2" t="n">
        <f aca="false">IF(L502="No",0,IF(AND(L502="Si",M502="Si"),(I502-(E502+F502))/2,IF(L502="Si",(I502-(E502+F502)),0)))</f>
        <v>0</v>
      </c>
      <c r="H502" s="2" t="n">
        <f aca="false">IF(M502="No",0,IF(AND(L502="Si",M502="Si"),(I502-(E502+F502))/2,IF(M502="Si",(I502-(E502+F502)),0)))</f>
        <v>0</v>
      </c>
      <c r="M502" s="77" t="s">
        <v>74</v>
      </c>
    </row>
    <row r="503" customFormat="false" ht="13.5" hidden="false" customHeight="true" outlineLevel="0" collapsed="false">
      <c r="A503" s="83"/>
      <c r="G503" s="2" t="n">
        <f aca="false">IF(L503="No",0,IF(AND(L503="Si",M503="Si"),(I503-(E503+F503))/2,IF(L503="Si",(I503-(E503+F503)),0)))</f>
        <v>0</v>
      </c>
      <c r="H503" s="2" t="n">
        <f aca="false">IF(M503="No",0,IF(AND(L503="Si",M503="Si"),(I503-(E503+F503))/2,IF(M503="Si",(I503-(E503+F503)),0)))</f>
        <v>0</v>
      </c>
      <c r="M503" s="77" t="s">
        <v>74</v>
      </c>
    </row>
    <row r="504" customFormat="false" ht="13.5" hidden="false" customHeight="true" outlineLevel="0" collapsed="false">
      <c r="A504" s="83"/>
      <c r="G504" s="2" t="n">
        <f aca="false">IF(L504="No",0,IF(AND(L504="Si",M504="Si"),(I504-(E504+F504))/2,IF(L504="Si",(I504-(E504+F504)),0)))</f>
        <v>0</v>
      </c>
      <c r="H504" s="2" t="n">
        <f aca="false">IF(M504="No",0,IF(AND(L504="Si",M504="Si"),(I504-(E504+F504))/2,IF(M504="Si",(I504-(E504+F504)),0)))</f>
        <v>0</v>
      </c>
      <c r="M504" s="77" t="s">
        <v>74</v>
      </c>
    </row>
    <row r="505" customFormat="false" ht="13.5" hidden="false" customHeight="true" outlineLevel="0" collapsed="false">
      <c r="A505" s="83"/>
      <c r="G505" s="2" t="n">
        <f aca="false">IF(L505="No",0,IF(AND(L505="Si",M505="Si"),(I505-(E505+F505))/2,IF(L505="Si",(I505-(E505+F505)),0)))</f>
        <v>0</v>
      </c>
      <c r="H505" s="2" t="n">
        <f aca="false">IF(M505="No",0,IF(AND(L505="Si",M505="Si"),(I505-(E505+F505))/2,IF(M505="Si",(I505-(E505+F505)),0)))</f>
        <v>0</v>
      </c>
      <c r="M505" s="77" t="s">
        <v>74</v>
      </c>
    </row>
  </sheetData>
  <mergeCells count="1">
    <mergeCell ref="A1:M1"/>
  </mergeCells>
  <conditionalFormatting sqref="A3:D29">
    <cfRule type="expression" priority="2" aboveAverage="0" equalAverage="0" bottom="0" percent="0" rank="0" text="" dxfId="0">
      <formula>$K3="Si"</formula>
    </cfRule>
  </conditionalFormatting>
  <conditionalFormatting sqref="A30:D505">
    <cfRule type="expression" priority="3" aboveAverage="0" equalAverage="0" bottom="0" percent="0" rank="0" text="" dxfId="1">
      <formula>$K30="Si"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3" activeCellId="1" sqref="I30:K87 F3"/>
    </sheetView>
  </sheetViews>
  <sheetFormatPr defaultColWidth="9.22265625" defaultRowHeight="14.25" zeroHeight="false" outlineLevelRow="0" outlineLevelCol="0"/>
  <cols>
    <col collapsed="false" customWidth="true" hidden="false" outlineLevel="0" max="1" min="1" style="84" width="18.59"/>
    <col collapsed="false" customWidth="true" hidden="false" outlineLevel="0" max="2" min="2" style="85" width="14.28"/>
    <col collapsed="false" customWidth="true" hidden="false" outlineLevel="0" max="3" min="3" style="86" width="28.57"/>
    <col collapsed="false" customWidth="true" hidden="false" outlineLevel="0" max="4" min="4" style="87" width="15.71"/>
    <col collapsed="false" customWidth="true" hidden="false" outlineLevel="0" max="5" min="5" style="88" width="4.57"/>
    <col collapsed="false" customWidth="true" hidden="false" outlineLevel="0" max="6" min="6" style="84" width="18.59"/>
    <col collapsed="false" customWidth="true" hidden="false" outlineLevel="0" max="7" min="7" style="85" width="11.42"/>
    <col collapsed="false" customWidth="true" hidden="false" outlineLevel="0" max="8" min="8" style="86" width="28.57"/>
    <col collapsed="false" customWidth="true" hidden="false" outlineLevel="0" max="9" min="9" style="87" width="15.71"/>
    <col collapsed="false" customWidth="true" hidden="false" outlineLevel="0" max="11" min="11" style="1" width="24.68"/>
    <col collapsed="false" customWidth="true" hidden="false" outlineLevel="0" max="12" min="12" style="1" width="18.96"/>
  </cols>
  <sheetData>
    <row r="1" customFormat="false" ht="21.75" hidden="false" customHeight="true" outlineLevel="0" collapsed="false">
      <c r="A1" s="15" t="s">
        <v>5</v>
      </c>
      <c r="B1" s="15"/>
      <c r="C1" s="15"/>
      <c r="D1" s="15"/>
      <c r="F1" s="15" t="s">
        <v>6</v>
      </c>
      <c r="G1" s="15"/>
      <c r="H1" s="15"/>
      <c r="I1" s="15"/>
      <c r="K1" s="43" t="s">
        <v>3</v>
      </c>
      <c r="L1" s="43"/>
    </row>
    <row r="2" customFormat="false" ht="19.5" hidden="false" customHeight="true" outlineLevel="0" collapsed="false">
      <c r="A2" s="71" t="s">
        <v>75</v>
      </c>
      <c r="B2" s="71" t="s">
        <v>76</v>
      </c>
      <c r="C2" s="71" t="s">
        <v>67</v>
      </c>
      <c r="D2" s="72" t="s">
        <v>77</v>
      </c>
      <c r="F2" s="71" t="s">
        <v>75</v>
      </c>
      <c r="G2" s="71" t="s">
        <v>76</v>
      </c>
      <c r="H2" s="71" t="s">
        <v>67</v>
      </c>
      <c r="I2" s="72" t="s">
        <v>77</v>
      </c>
      <c r="K2" s="89" t="s">
        <v>54</v>
      </c>
      <c r="L2" s="90" t="n">
        <f aca="false">SUMIFS(Retenciones!D:D,Retenciones!A:A,"IIBB")+SUMIFS(Retenciones!I:I,Retenciones!F:F,"IIBB")</f>
        <v>0</v>
      </c>
    </row>
    <row r="3" customFormat="false" ht="17.25" hidden="false" customHeight="true" outlineLevel="0" collapsed="false">
      <c r="K3" s="89" t="s">
        <v>45</v>
      </c>
      <c r="L3" s="90" t="n">
        <f aca="false">SUMIFS(Retenciones!D:D,Retenciones!A:A,"IVA")+SUMIFS(Retenciones!I:I,Retenciones!F:F,"IVA")</f>
        <v>0</v>
      </c>
    </row>
    <row r="4" customFormat="false" ht="17.25" hidden="false" customHeight="true" outlineLevel="0" collapsed="false">
      <c r="K4" s="89"/>
      <c r="L4" s="90" t="n">
        <f aca="false">SUMIFS(Retenciones!D:D,Retenciones!A:A,"OTROS")+SUMIFS(Retenciones!I:I,Retenciones!F:F,"OTROS")</f>
        <v>0</v>
      </c>
    </row>
    <row r="5" customFormat="false" ht="17.25" hidden="false" customHeight="true" outlineLevel="0" collapsed="false"/>
    <row r="6" customFormat="false" ht="17.25" hidden="false" customHeight="true" outlineLevel="0" collapsed="false"/>
    <row r="7" customFormat="false" ht="17.25" hidden="false" customHeight="true" outlineLevel="0" collapsed="false"/>
    <row r="8" customFormat="false" ht="17.25" hidden="false" customHeight="true" outlineLevel="0" collapsed="false"/>
    <row r="9" customFormat="false" ht="17.25" hidden="false" customHeight="true" outlineLevel="0" collapsed="false"/>
    <row r="10" customFormat="false" ht="17.25" hidden="false" customHeight="true" outlineLevel="0" collapsed="false"/>
    <row r="11" customFormat="false" ht="17.25" hidden="false" customHeight="true" outlineLevel="0" collapsed="false"/>
  </sheetData>
  <mergeCells count="3">
    <mergeCell ref="A1:D1"/>
    <mergeCell ref="F1:I1"/>
    <mergeCell ref="K1:L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B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4" activeCellId="1" sqref="I30:K87 A14"/>
    </sheetView>
  </sheetViews>
  <sheetFormatPr defaultColWidth="10.16015625" defaultRowHeight="12.8" zeroHeight="false" outlineLevelRow="0" outlineLevelCol="0"/>
  <cols>
    <col collapsed="false" customWidth="true" hidden="false" outlineLevel="0" max="2" min="2" style="0" width="25.18"/>
  </cols>
  <sheetData>
    <row r="2" customFormat="false" ht="17.35" hidden="false" customHeight="false" outlineLevel="0" collapsed="false">
      <c r="A2" s="32" t="s">
        <v>35</v>
      </c>
      <c r="B2" s="32" t="s">
        <v>73</v>
      </c>
    </row>
    <row r="3" customFormat="false" ht="17.35" hidden="false" customHeight="false" outlineLevel="0" collapsed="false">
      <c r="A3" s="32" t="s">
        <v>34</v>
      </c>
      <c r="B3" s="32" t="s">
        <v>78</v>
      </c>
    </row>
    <row r="4" customFormat="false" ht="17.35" hidden="false" customHeight="false" outlineLevel="0" collapsed="false">
      <c r="A4" s="32"/>
      <c r="B4" s="32" t="s">
        <v>79</v>
      </c>
    </row>
    <row r="5" customFormat="false" ht="17.35" hidden="false" customHeight="false" outlineLevel="0" collapsed="false">
      <c r="A5" s="32"/>
      <c r="B5" s="32" t="s">
        <v>80</v>
      </c>
    </row>
    <row r="6" customFormat="false" ht="17.35" hidden="false" customHeight="false" outlineLevel="0" collapsed="false">
      <c r="A6" s="32"/>
      <c r="B6" s="32" t="s">
        <v>81</v>
      </c>
    </row>
    <row r="7" customFormat="false" ht="17.35" hidden="false" customHeight="false" outlineLevel="0" collapsed="false">
      <c r="A7" s="32"/>
      <c r="B7" s="32" t="s">
        <v>82</v>
      </c>
    </row>
    <row r="8" customFormat="false" ht="17.35" hidden="false" customHeight="false" outlineLevel="0" collapsed="false">
      <c r="A8" s="32"/>
      <c r="B8" s="32" t="s">
        <v>83</v>
      </c>
    </row>
    <row r="9" customFormat="false" ht="17.35" hidden="false" customHeight="false" outlineLevel="0" collapsed="false">
      <c r="A9" s="32"/>
      <c r="B9" s="32" t="s">
        <v>84</v>
      </c>
    </row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LibreOffice/7.3.7.2$Linux_X86_64 LibreOffice_project/30$Build-2</Application>
  <AppVersion>15.0000</AppVersion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2023-11-26T20:11:35Z</dcterms:created>
  <dc:creator>Unknown</dc:creator>
  <dc:description/>
  <dc:language>es-AR</dc:language>
  <cp:lastModifiedBy/>
  <dcterms:modified xsi:type="dcterms:W3CDTF">2023-11-26T21:02:17Z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